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dreaballerini/Downloads/"/>
    </mc:Choice>
  </mc:AlternateContent>
  <xr:revisionPtr revIDLastSave="0" documentId="13_ncr:1_{38EF4C76-3AD1-5344-8EED-ED5029344236}" xr6:coauthVersionLast="47" xr6:coauthVersionMax="47" xr10:uidLastSave="{00000000-0000-0000-0000-000000000000}"/>
  <bookViews>
    <workbookView xWindow="3540" yWindow="620" windowWidth="25160" windowHeight="15860" activeTab="6" xr2:uid="{00000000-000D-0000-FFFF-FFFF00000000}"/>
  </bookViews>
  <sheets>
    <sheet name="q&amp;a" sheetId="12" r:id="rId1"/>
    <sheet name="Sheet1" sheetId="13" r:id="rId2"/>
    <sheet name="Sheet2" sheetId="14" r:id="rId3"/>
    <sheet name="Sheet3" sheetId="15" r:id="rId4"/>
    <sheet name="ex_1" sheetId="10" r:id="rId5"/>
    <sheet name="ex_2" sheetId="11" r:id="rId6"/>
    <sheet name="Sheet4" sheetId="16" r:id="rId7"/>
  </sheets>
  <definedNames>
    <definedName name="_xlchart.v1.0" hidden="1">ex_1!$D$5</definedName>
    <definedName name="_xlchart.v1.1" hidden="1">ex_1!$D$6:$D$35</definedName>
    <definedName name="_xlchart.v1.2" hidden="1">ex_1!$F$5</definedName>
    <definedName name="_xlchart.v1.3" hidden="1">ex_1!$F$6:$F$35</definedName>
    <definedName name="_xlchart.v1.4" hidden="1">ex_1!$G$5</definedName>
    <definedName name="_xlchart.v1.5" hidden="1">ex_1!$G$6:$G$35</definedName>
    <definedName name="_xlchart.v1.6" hidden="1">ex_1!$H$5</definedName>
    <definedName name="_xlchart.v1.7" hidden="1">ex_1!$H$6:$H$35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7" i="16" l="1"/>
  <c r="R33" i="16"/>
  <c r="M16" i="16"/>
  <c r="J15" i="16"/>
  <c r="I15" i="16"/>
  <c r="J12" i="16"/>
  <c r="J13" i="16"/>
  <c r="J11" i="16"/>
  <c r="I13" i="16"/>
  <c r="I11" i="16"/>
  <c r="D20" i="16"/>
  <c r="B20" i="11"/>
  <c r="B18" i="11"/>
  <c r="H7" i="11"/>
  <c r="I7" i="11"/>
  <c r="H8" i="11"/>
  <c r="I8" i="11"/>
  <c r="I6" i="11"/>
  <c r="H6" i="11"/>
  <c r="C11" i="11"/>
  <c r="B10" i="11" s="1"/>
  <c r="C12" i="11"/>
  <c r="N7" i="10"/>
  <c r="N8" i="10"/>
  <c r="N9" i="10"/>
  <c r="N10" i="10"/>
  <c r="N11" i="10"/>
  <c r="N12" i="10"/>
  <c r="N13" i="10"/>
  <c r="N14" i="10"/>
  <c r="N15" i="10"/>
  <c r="N16" i="10"/>
  <c r="N17" i="10"/>
  <c r="N18" i="10"/>
  <c r="N19" i="10"/>
  <c r="N20" i="10"/>
  <c r="N21" i="10"/>
  <c r="N22" i="10"/>
  <c r="N23" i="10"/>
  <c r="N24" i="10"/>
  <c r="N25" i="10"/>
  <c r="N26" i="10"/>
  <c r="N27" i="10"/>
  <c r="N28" i="10"/>
  <c r="N29" i="10"/>
  <c r="N30" i="10"/>
  <c r="N31" i="10"/>
  <c r="N32" i="10"/>
  <c r="N33" i="10"/>
  <c r="N34" i="10"/>
  <c r="N35" i="10"/>
  <c r="N6" i="10"/>
  <c r="M7" i="10"/>
  <c r="M8" i="10"/>
  <c r="M9" i="10"/>
  <c r="M10" i="10"/>
  <c r="M11" i="10"/>
  <c r="M12" i="10"/>
  <c r="M13" i="10"/>
  <c r="M14" i="10"/>
  <c r="M15" i="10"/>
  <c r="M16" i="10"/>
  <c r="M17" i="10"/>
  <c r="M18" i="10"/>
  <c r="M19" i="10"/>
  <c r="M20" i="10"/>
  <c r="M21" i="10"/>
  <c r="M22" i="10"/>
  <c r="M23" i="10"/>
  <c r="M24" i="10"/>
  <c r="M25" i="10"/>
  <c r="M26" i="10"/>
  <c r="M27" i="10"/>
  <c r="M28" i="10"/>
  <c r="M29" i="10"/>
  <c r="M30" i="10"/>
  <c r="M31" i="10"/>
  <c r="M32" i="10"/>
  <c r="M33" i="10"/>
  <c r="M34" i="10"/>
  <c r="M35" i="10"/>
  <c r="M6" i="10"/>
  <c r="J37" i="10"/>
  <c r="K37" i="10"/>
  <c r="I37" i="10"/>
  <c r="I7" i="10"/>
  <c r="J7" i="10"/>
  <c r="K7" i="10"/>
  <c r="I8" i="10"/>
  <c r="J8" i="10"/>
  <c r="K8" i="10"/>
  <c r="I9" i="10"/>
  <c r="J9" i="10"/>
  <c r="K9" i="10"/>
  <c r="I10" i="10"/>
  <c r="J10" i="10"/>
  <c r="K10" i="10"/>
  <c r="I11" i="10"/>
  <c r="J11" i="10"/>
  <c r="K11" i="10"/>
  <c r="I12" i="10"/>
  <c r="J12" i="10"/>
  <c r="K12" i="10"/>
  <c r="I13" i="10"/>
  <c r="J13" i="10"/>
  <c r="K13" i="10"/>
  <c r="I14" i="10"/>
  <c r="J14" i="10"/>
  <c r="K14" i="10"/>
  <c r="I15" i="10"/>
  <c r="J15" i="10"/>
  <c r="K15" i="10"/>
  <c r="I16" i="10"/>
  <c r="J16" i="10"/>
  <c r="K16" i="10"/>
  <c r="I17" i="10"/>
  <c r="J17" i="10"/>
  <c r="K17" i="10"/>
  <c r="I18" i="10"/>
  <c r="J18" i="10"/>
  <c r="K18" i="10"/>
  <c r="I19" i="10"/>
  <c r="J19" i="10"/>
  <c r="K19" i="10"/>
  <c r="I20" i="10"/>
  <c r="J20" i="10"/>
  <c r="K20" i="10"/>
  <c r="I21" i="10"/>
  <c r="J21" i="10"/>
  <c r="K21" i="10"/>
  <c r="I22" i="10"/>
  <c r="J22" i="10"/>
  <c r="K22" i="10"/>
  <c r="I23" i="10"/>
  <c r="J23" i="10"/>
  <c r="K23" i="10"/>
  <c r="I24" i="10"/>
  <c r="J24" i="10"/>
  <c r="K24" i="10"/>
  <c r="I25" i="10"/>
  <c r="J25" i="10"/>
  <c r="K25" i="10"/>
  <c r="I26" i="10"/>
  <c r="J26" i="10"/>
  <c r="K26" i="10"/>
  <c r="I27" i="10"/>
  <c r="J27" i="10"/>
  <c r="K27" i="10"/>
  <c r="I28" i="10"/>
  <c r="J28" i="10"/>
  <c r="K28" i="10"/>
  <c r="I29" i="10"/>
  <c r="J29" i="10"/>
  <c r="K29" i="10"/>
  <c r="I30" i="10"/>
  <c r="J30" i="10"/>
  <c r="K30" i="10"/>
  <c r="I31" i="10"/>
  <c r="J31" i="10"/>
  <c r="K31" i="10"/>
  <c r="I32" i="10"/>
  <c r="J32" i="10"/>
  <c r="K32" i="10"/>
  <c r="I33" i="10"/>
  <c r="J33" i="10"/>
  <c r="K33" i="10"/>
  <c r="I34" i="10"/>
  <c r="J34" i="10"/>
  <c r="K34" i="10"/>
  <c r="I35" i="10"/>
  <c r="J35" i="10"/>
  <c r="K35" i="10"/>
  <c r="K6" i="10"/>
  <c r="K36" i="10" s="1"/>
  <c r="J6" i="10"/>
  <c r="J36" i="10" s="1"/>
  <c r="I6" i="10"/>
  <c r="I36" i="10" s="1"/>
  <c r="I25" i="15"/>
  <c r="I26" i="15"/>
  <c r="I27" i="15"/>
  <c r="I28" i="15"/>
  <c r="I29" i="15"/>
  <c r="I30" i="15"/>
  <c r="I31" i="15"/>
  <c r="I32" i="15"/>
  <c r="I33" i="15"/>
  <c r="I34" i="15"/>
  <c r="I35" i="15"/>
  <c r="I36" i="15"/>
  <c r="I37" i="15"/>
  <c r="I38" i="15"/>
  <c r="I39" i="15"/>
  <c r="I40" i="15"/>
  <c r="I41" i="15"/>
  <c r="I42" i="15"/>
  <c r="I43" i="15"/>
  <c r="I44" i="15"/>
  <c r="I45" i="15"/>
  <c r="I46" i="15"/>
  <c r="I47" i="15"/>
  <c r="I48" i="15"/>
  <c r="I49" i="15"/>
  <c r="I50" i="15"/>
  <c r="I51" i="15"/>
  <c r="I52" i="15"/>
  <c r="I53" i="15"/>
  <c r="I24" i="15"/>
  <c r="M18" i="15"/>
  <c r="M17" i="15"/>
  <c r="B7" i="10"/>
  <c r="B8" i="10"/>
  <c r="B9" i="10"/>
  <c r="B10" i="10"/>
  <c r="B11" i="10"/>
  <c r="B12" i="10"/>
  <c r="B13" i="10"/>
  <c r="B14" i="10"/>
  <c r="B15" i="10"/>
  <c r="B16" i="10"/>
  <c r="B17" i="10"/>
  <c r="B18" i="10"/>
  <c r="B19" i="10"/>
  <c r="B20" i="10"/>
  <c r="B21" i="10"/>
  <c r="B22" i="10"/>
  <c r="B23" i="10"/>
  <c r="B24" i="10"/>
  <c r="B25" i="10"/>
  <c r="B26" i="10"/>
  <c r="B27" i="10"/>
  <c r="B28" i="10"/>
  <c r="B29" i="10"/>
  <c r="B30" i="10"/>
  <c r="B31" i="10"/>
  <c r="B32" i="10"/>
  <c r="B33" i="10"/>
  <c r="B34" i="10"/>
  <c r="B35" i="10"/>
  <c r="B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6" i="10"/>
  <c r="E27" i="10"/>
  <c r="E28" i="10"/>
  <c r="E29" i="10"/>
  <c r="E30" i="10"/>
  <c r="E31" i="10"/>
  <c r="E32" i="10"/>
  <c r="E33" i="10"/>
  <c r="E34" i="10"/>
  <c r="E35" i="10"/>
  <c r="E6" i="10"/>
  <c r="H9" i="11" l="1"/>
  <c r="C15" i="11" s="1"/>
  <c r="I9" i="11"/>
  <c r="C16" i="11" s="1"/>
  <c r="B14" i="11"/>
  <c r="I11" i="11"/>
</calcChain>
</file>

<file path=xl/sharedStrings.xml><?xml version="1.0" encoding="utf-8"?>
<sst xmlns="http://schemas.openxmlformats.org/spreadsheetml/2006/main" count="186" uniqueCount="99">
  <si>
    <t>Table 1</t>
  </si>
  <si>
    <t>a</t>
  </si>
  <si>
    <t>b</t>
  </si>
  <si>
    <t>c</t>
  </si>
  <si>
    <t>d</t>
  </si>
  <si>
    <t>BIO</t>
  </si>
  <si>
    <t>1. A composite indicator:</t>
  </si>
  <si>
    <t>is used just for economic analysis</t>
  </si>
  <si>
    <t>measures a multidimensional phenomenon</t>
  </si>
  <si>
    <t>is not a quantitative measure</t>
  </si>
  <si>
    <t>is used if any information is available</t>
  </si>
  <si>
    <t>is a weighted mean of normalised values</t>
  </si>
  <si>
    <t>is the sum of elementary indicators</t>
  </si>
  <si>
    <t>is the simple arithmethic mean of variables</t>
  </si>
  <si>
    <t>allows to compare elementary indicators</t>
  </si>
  <si>
    <t>3. A moving average is:</t>
  </si>
  <si>
    <t>the averages of consecutive time series values for a chosen period of length</t>
  </si>
  <si>
    <t xml:space="preserve">a  graphical representation </t>
  </si>
  <si>
    <t>1) find the intercept and the slope coefficients for the linear trend model, for the exponential trend model and for the quadratic trend model</t>
  </si>
  <si>
    <t>3) choose the best model solution based on R2 and explain your choice</t>
  </si>
  <si>
    <t>Table 2 shows the quantities and prices of the beverage sector recorded in 2022 and 2023.</t>
  </si>
  <si>
    <t>Determine:</t>
  </si>
  <si>
    <t>Q</t>
  </si>
  <si>
    <t>P</t>
  </si>
  <si>
    <t>Lemonade</t>
  </si>
  <si>
    <t>Water</t>
  </si>
  <si>
    <t>Orange juice</t>
  </si>
  <si>
    <t>the overall mean</t>
  </si>
  <si>
    <t>Table 2</t>
  </si>
  <si>
    <t>1) The price index numbers and provide a comment</t>
  </si>
  <si>
    <t>2. In composite indicators construction the aggregation:</t>
  </si>
  <si>
    <t>2) plot, in the same graph, the empirical values and the estimated values obtained by the models</t>
  </si>
  <si>
    <t>2) By using the Fisher index number, calculate the percentage change in the cost of the overall production sector and provide a comment</t>
  </si>
  <si>
    <t xml:space="preserve">Table 1 shows the distribution of a sample of households considering the number of biological food (BIO) purchased in the last 30 years </t>
  </si>
  <si>
    <t>used if some data are missing</t>
  </si>
  <si>
    <t>X</t>
  </si>
  <si>
    <t>X2</t>
  </si>
  <si>
    <t>LY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</si>
  <si>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</si>
  <si>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</si>
  <si>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</si>
  <si>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</si>
  <si>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</si>
  <si>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</si>
  <si>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</si>
  <si>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</si>
  <si>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</si>
  <si>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</si>
  <si>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</si>
  <si>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</si>
  <si>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</si>
  <si>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</si>
  <si>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</si>
  <si>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</si>
  <si>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</si>
  <si>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</si>
  <si>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</si>
  <si>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</si>
  <si>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</si>
  <si>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</si>
  <si>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95,0%</t>
  </si>
  <si>
    <t>Upper 95,0%</t>
  </si>
  <si>
    <t>RESIDUAL OUTPUT</t>
  </si>
  <si>
    <t>Observation</t>
  </si>
  <si>
    <t>Predicted BIO</t>
  </si>
  <si>
    <t>Residuals</t>
  </si>
  <si>
    <t>Standard Residuals</t>
  </si>
  <si>
    <t>YHAT QUAD</t>
  </si>
  <si>
    <t>YHAT LINEAR</t>
  </si>
  <si>
    <t>Predicted LY</t>
  </si>
  <si>
    <t>b0</t>
  </si>
  <si>
    <t>b1</t>
  </si>
  <si>
    <t>Y HAT EXP</t>
  </si>
  <si>
    <t>MAPE contrib L</t>
  </si>
  <si>
    <t>MAPE contrib Q</t>
  </si>
  <si>
    <t>MAPE contrib E</t>
  </si>
  <si>
    <t>MAPE</t>
  </si>
  <si>
    <t>YHAT QUADR</t>
  </si>
  <si>
    <t>Laspeyers</t>
  </si>
  <si>
    <t>Paasche</t>
  </si>
  <si>
    <t>Numer</t>
  </si>
  <si>
    <t>Denom</t>
  </si>
  <si>
    <t>∑P23*Q22</t>
  </si>
  <si>
    <t>∑P22*Q22</t>
  </si>
  <si>
    <t>Laspeyers N contribution</t>
  </si>
  <si>
    <t>Paasche N contribution</t>
  </si>
  <si>
    <t>Paasche d contribution</t>
  </si>
  <si>
    <t>∑P23*Q23</t>
  </si>
  <si>
    <t>∑P22*Q23</t>
  </si>
  <si>
    <t>Fischer</t>
  </si>
  <si>
    <t>Based on Laspeyer price index, there has been an increase by 10%</t>
  </si>
  <si>
    <t>Laspeyeres d contribution</t>
  </si>
  <si>
    <t>24X</t>
  </si>
  <si>
    <t>1,1=(22,2+24X)/(40,2)</t>
  </si>
  <si>
    <t>1,1*40,2=22,2+24X</t>
  </si>
  <si>
    <t>44,22=22,2+24X</t>
  </si>
  <si>
    <t>44,22-22,2=24X</t>
  </si>
  <si>
    <t>22,02=24X</t>
  </si>
  <si>
    <t>X=22,02/24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</si>
</sst>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Arial Nova"/>
      <family val="2"/>
    </font>
    <font>
      <sz val="12"/>
      <color rgb="FF000000"/>
      <name val="Arial Nova"/>
      <family val="2"/>
    </font>
    <font>
      <sz val="12"/>
      <name val="Arial Nova"/>
      <family val="2"/>
    </font>
    <font>
      <b/>
      <sz val="12"/>
      <name val="Arial Nova"/>
      <family val="2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2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9" fontId="8" fillId="0" borderId="0" applyFont="0" applyFill="0" applyBorder="0" applyAlignment="0" applyProtection="0"/>
  </cellStyleXfs>
  <cellXfs count="33">
    <xf numFmtId="0" fontId="0" fillId="0" borderId="0" xfId="0"/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 indent="4"/>
    </xf>
    <xf numFmtId="0" fontId="4" fillId="0" borderId="0" xfId="0" applyFont="1"/>
    <xf numFmtId="0" fontId="2" fillId="0" borderId="0" xfId="0" applyFont="1"/>
    <xf numFmtId="0" fontId="5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3" xfId="0" applyFont="1" applyBorder="1" applyAlignment="1">
      <alignment horizontal="left"/>
    </xf>
    <xf numFmtId="0" fontId="0" fillId="0" borderId="1" xfId="0" applyBorder="1" applyAlignment="1">
      <alignment horizontal="center"/>
    </xf>
    <xf numFmtId="0" fontId="1" fillId="0" borderId="0" xfId="0" applyFont="1"/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0" fillId="0" borderId="2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Fill="1" applyBorder="1" applyAlignment="1"/>
    <xf numFmtId="0" fontId="0" fillId="0" borderId="8" xfId="0" applyFill="1" applyBorder="1" applyAlignment="1"/>
    <xf numFmtId="0" fontId="10" fillId="0" borderId="9" xfId="0" applyFont="1" applyFill="1" applyBorder="1" applyAlignment="1">
      <alignment horizontal="center"/>
    </xf>
    <xf numFmtId="0" fontId="10" fillId="0" borderId="9" xfId="0" applyFont="1" applyFill="1" applyBorder="1" applyAlignment="1">
      <alignment horizontal="centerContinuous"/>
    </xf>
    <xf numFmtId="0" fontId="7" fillId="0" borderId="0" xfId="0" applyFont="1"/>
    <xf numFmtId="9" fontId="2" fillId="0" borderId="0" xfId="1" applyFont="1"/>
    <xf numFmtId="0" fontId="0" fillId="0" borderId="0" xfId="0" applyFill="1" applyBorder="1" applyAlignment="1">
      <alignment horizontal="center"/>
    </xf>
    <xf numFmtId="0" fontId="9" fillId="0" borderId="0" xfId="0" applyFont="1"/>
    <xf numFmtId="9" fontId="0" fillId="0" borderId="0" xfId="1" applyFont="1"/>
    <xf numFmtId="10" fontId="0" fillId="0" borderId="0" xfId="1" applyNumberFormat="1" applyFont="1"/>
    <xf numFmtId="0" fontId="0" fillId="0" borderId="0" xfId="0" applyFill="1" applyBorder="1" applyAlignment="1">
      <alignment horizontal="center" wrapText="1"/>
    </xf>
    <xf numFmtId="0" fontId="9" fillId="2" borderId="1" xfId="0" applyFont="1" applyFill="1" applyBorder="1" applyAlignment="1">
      <alignment horizontal="center"/>
    </xf>
    <xf numFmtId="0" fontId="11" fillId="0" borderId="0" xfId="0" applyFont="1" applyAlignment="1">
      <alignment horizontal="center" vertical="center" wrapText="1"/>
    </xf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X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ex_1!$C$6:$C$35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xVal>
          <c:yVal>
            <c:numRef>
              <c:f>Sheet1!$C$25:$C$54</c:f>
              <c:numCache>
                <c:formatCode>General</c:formatCode>
                <c:ptCount val="30"/>
                <c:pt idx="0">
                  <c:v>-4.1849462365591386</c:v>
                </c:pt>
                <c:pt idx="1">
                  <c:v>-1.3193177604746005</c:v>
                </c:pt>
                <c:pt idx="2">
                  <c:v>-2.4536892843900624</c:v>
                </c:pt>
                <c:pt idx="3">
                  <c:v>1.4119391916944757</c:v>
                </c:pt>
                <c:pt idx="4">
                  <c:v>4.2775676677790155</c:v>
                </c:pt>
                <c:pt idx="5">
                  <c:v>4.1431961438635536</c:v>
                </c:pt>
                <c:pt idx="6">
                  <c:v>9.0088246199480917</c:v>
                </c:pt>
                <c:pt idx="7">
                  <c:v>3.8744530960326298</c:v>
                </c:pt>
                <c:pt idx="8">
                  <c:v>4.7400815721171679</c:v>
                </c:pt>
                <c:pt idx="9">
                  <c:v>5.6057100482017077</c:v>
                </c:pt>
                <c:pt idx="10">
                  <c:v>-6.5286614757137542</c:v>
                </c:pt>
                <c:pt idx="11">
                  <c:v>-3.6630329996292161</c:v>
                </c:pt>
                <c:pt idx="12">
                  <c:v>-6.7974045235446781</c:v>
                </c:pt>
                <c:pt idx="13">
                  <c:v>1.06822395253986</c:v>
                </c:pt>
                <c:pt idx="14">
                  <c:v>-1.0661475713756019</c:v>
                </c:pt>
                <c:pt idx="15">
                  <c:v>2.7994809047089362</c:v>
                </c:pt>
                <c:pt idx="16">
                  <c:v>-1.3348906192065257</c:v>
                </c:pt>
                <c:pt idx="17">
                  <c:v>-9.4692621431219877</c:v>
                </c:pt>
                <c:pt idx="18">
                  <c:v>-11.60363366703745</c:v>
                </c:pt>
                <c:pt idx="19">
                  <c:v>5.2619948090470885</c:v>
                </c:pt>
                <c:pt idx="20">
                  <c:v>6.1276232851316266</c:v>
                </c:pt>
                <c:pt idx="21">
                  <c:v>-15.006748238783835</c:v>
                </c:pt>
                <c:pt idx="22">
                  <c:v>6.8588802373007027</c:v>
                </c:pt>
                <c:pt idx="23">
                  <c:v>-17.275491286614759</c:v>
                </c:pt>
                <c:pt idx="24">
                  <c:v>5.5901371894697789</c:v>
                </c:pt>
                <c:pt idx="25">
                  <c:v>5.455765665554317</c:v>
                </c:pt>
                <c:pt idx="26">
                  <c:v>2.321394141638855</c:v>
                </c:pt>
                <c:pt idx="27">
                  <c:v>5.1870226177233931</c:v>
                </c:pt>
                <c:pt idx="28">
                  <c:v>2.0526510938079312</c:v>
                </c:pt>
                <c:pt idx="29">
                  <c:v>4.9182795698924693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B9F-304A-9639-EC1B5F67A2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1579328"/>
        <c:axId val="2141581120"/>
      </c:scatterChart>
      <c:valAx>
        <c:axId val="21415793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X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141581120"/>
        <c:crosses val="autoZero"/>
        <c:crossBetween val="midCat"/>
      </c:valAx>
      <c:valAx>
        <c:axId val="214158112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141579328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X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BIO</c:v>
          </c:tx>
          <c:spPr>
            <a:ln w="19050">
              <a:noFill/>
            </a:ln>
          </c:spPr>
          <c:xVal>
            <c:numRef>
              <c:f>ex_1!$C$6:$C$35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xVal>
          <c:yVal>
            <c:numRef>
              <c:f>ex_1!$D$6:$D$35</c:f>
              <c:numCache>
                <c:formatCode>General</c:formatCode>
                <c:ptCount val="30"/>
                <c:pt idx="0">
                  <c:v>2</c:v>
                </c:pt>
                <c:pt idx="1">
                  <c:v>6</c:v>
                </c:pt>
                <c:pt idx="2">
                  <c:v>6</c:v>
                </c:pt>
                <c:pt idx="3">
                  <c:v>11</c:v>
                </c:pt>
                <c:pt idx="4">
                  <c:v>15</c:v>
                </c:pt>
                <c:pt idx="5">
                  <c:v>16</c:v>
                </c:pt>
                <c:pt idx="6">
                  <c:v>22</c:v>
                </c:pt>
                <c:pt idx="7">
                  <c:v>18</c:v>
                </c:pt>
                <c:pt idx="8">
                  <c:v>20</c:v>
                </c:pt>
                <c:pt idx="9">
                  <c:v>22</c:v>
                </c:pt>
                <c:pt idx="10">
                  <c:v>11</c:v>
                </c:pt>
                <c:pt idx="11">
                  <c:v>15</c:v>
                </c:pt>
                <c:pt idx="12">
                  <c:v>13</c:v>
                </c:pt>
                <c:pt idx="13">
                  <c:v>22</c:v>
                </c:pt>
                <c:pt idx="14">
                  <c:v>21</c:v>
                </c:pt>
                <c:pt idx="15">
                  <c:v>26</c:v>
                </c:pt>
                <c:pt idx="16">
                  <c:v>23</c:v>
                </c:pt>
                <c:pt idx="17">
                  <c:v>16</c:v>
                </c:pt>
                <c:pt idx="18">
                  <c:v>15</c:v>
                </c:pt>
                <c:pt idx="19">
                  <c:v>33</c:v>
                </c:pt>
                <c:pt idx="20">
                  <c:v>35</c:v>
                </c:pt>
                <c:pt idx="21">
                  <c:v>15</c:v>
                </c:pt>
                <c:pt idx="22">
                  <c:v>38</c:v>
                </c:pt>
                <c:pt idx="23">
                  <c:v>15</c:v>
                </c:pt>
                <c:pt idx="24">
                  <c:v>39</c:v>
                </c:pt>
                <c:pt idx="25">
                  <c:v>40</c:v>
                </c:pt>
                <c:pt idx="26">
                  <c:v>38</c:v>
                </c:pt>
                <c:pt idx="27">
                  <c:v>42</c:v>
                </c:pt>
                <c:pt idx="28">
                  <c:v>40</c:v>
                </c:pt>
                <c:pt idx="29">
                  <c:v>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C6A-6A48-899B-19153A3D1E7C}"/>
            </c:ext>
          </c:extLst>
        </c:ser>
        <c:ser>
          <c:idx val="1"/>
          <c:order val="1"/>
          <c:tx>
            <c:v>Predicted BIO</c:v>
          </c:tx>
          <c:spPr>
            <a:ln w="19050">
              <a:noFill/>
            </a:ln>
          </c:spPr>
          <c:xVal>
            <c:numRef>
              <c:f>ex_1!$C$6:$C$35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xVal>
          <c:yVal>
            <c:numRef>
              <c:f>Sheet1!$B$25:$B$54</c:f>
              <c:numCache>
                <c:formatCode>General</c:formatCode>
                <c:ptCount val="30"/>
                <c:pt idx="0">
                  <c:v>6.1849462365591386</c:v>
                </c:pt>
                <c:pt idx="1">
                  <c:v>7.3193177604746005</c:v>
                </c:pt>
                <c:pt idx="2">
                  <c:v>8.4536892843900624</c:v>
                </c:pt>
                <c:pt idx="3">
                  <c:v>9.5880608083055243</c:v>
                </c:pt>
                <c:pt idx="4">
                  <c:v>10.722432332220984</c:v>
                </c:pt>
                <c:pt idx="5">
                  <c:v>11.856803856136446</c:v>
                </c:pt>
                <c:pt idx="6">
                  <c:v>12.991175380051908</c:v>
                </c:pt>
                <c:pt idx="7">
                  <c:v>14.12554690396737</c:v>
                </c:pt>
                <c:pt idx="8">
                  <c:v>15.259918427882832</c:v>
                </c:pt>
                <c:pt idx="9">
                  <c:v>16.394289951798292</c:v>
                </c:pt>
                <c:pt idx="10">
                  <c:v>17.528661475713754</c:v>
                </c:pt>
                <c:pt idx="11">
                  <c:v>18.663032999629216</c:v>
                </c:pt>
                <c:pt idx="12">
                  <c:v>19.797404523544678</c:v>
                </c:pt>
                <c:pt idx="13">
                  <c:v>20.93177604746014</c:v>
                </c:pt>
                <c:pt idx="14">
                  <c:v>22.066147571375602</c:v>
                </c:pt>
                <c:pt idx="15">
                  <c:v>23.200519095291064</c:v>
                </c:pt>
                <c:pt idx="16">
                  <c:v>24.334890619206526</c:v>
                </c:pt>
                <c:pt idx="17">
                  <c:v>25.469262143121988</c:v>
                </c:pt>
                <c:pt idx="18">
                  <c:v>26.60363366703745</c:v>
                </c:pt>
                <c:pt idx="19">
                  <c:v>27.738005190952912</c:v>
                </c:pt>
                <c:pt idx="20">
                  <c:v>28.872376714868373</c:v>
                </c:pt>
                <c:pt idx="21">
                  <c:v>30.006748238783835</c:v>
                </c:pt>
                <c:pt idx="22">
                  <c:v>31.141119762699297</c:v>
                </c:pt>
                <c:pt idx="23">
                  <c:v>32.275491286614759</c:v>
                </c:pt>
                <c:pt idx="24">
                  <c:v>33.409862810530221</c:v>
                </c:pt>
                <c:pt idx="25">
                  <c:v>34.544234334445683</c:v>
                </c:pt>
                <c:pt idx="26">
                  <c:v>35.678605858361145</c:v>
                </c:pt>
                <c:pt idx="27">
                  <c:v>36.812977382276607</c:v>
                </c:pt>
                <c:pt idx="28">
                  <c:v>37.947348906192069</c:v>
                </c:pt>
                <c:pt idx="29">
                  <c:v>39.081720430107531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C6A-6A48-899B-19153A3D1E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1810944"/>
        <c:axId val="2141812736"/>
      </c:scatterChart>
      <c:valAx>
        <c:axId val="21418109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X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141812736"/>
        <c:crosses val="autoZero"/>
        <c:crossBetween val="midCat"/>
      </c:valAx>
      <c:valAx>
        <c:axId val="21418127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BIO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14181094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X2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ex_1!$B$6:$B$35</c:f>
              <c:numCache>
                <c:formatCode>General</c:formatCode>
                <c:ptCount val="30"/>
                <c:pt idx="0">
                  <c:v>1</c:v>
                </c:pt>
                <c:pt idx="1">
                  <c:v>4</c:v>
                </c:pt>
                <c:pt idx="2">
                  <c:v>9</c:v>
                </c:pt>
                <c:pt idx="3">
                  <c:v>16</c:v>
                </c:pt>
                <c:pt idx="4">
                  <c:v>25</c:v>
                </c:pt>
                <c:pt idx="5">
                  <c:v>36</c:v>
                </c:pt>
                <c:pt idx="6">
                  <c:v>49</c:v>
                </c:pt>
                <c:pt idx="7">
                  <c:v>64</c:v>
                </c:pt>
                <c:pt idx="8">
                  <c:v>81</c:v>
                </c:pt>
                <c:pt idx="9">
                  <c:v>100</c:v>
                </c:pt>
                <c:pt idx="10">
                  <c:v>121</c:v>
                </c:pt>
                <c:pt idx="11">
                  <c:v>144</c:v>
                </c:pt>
                <c:pt idx="12">
                  <c:v>169</c:v>
                </c:pt>
                <c:pt idx="13">
                  <c:v>196</c:v>
                </c:pt>
                <c:pt idx="14">
                  <c:v>225</c:v>
                </c:pt>
                <c:pt idx="15">
                  <c:v>256</c:v>
                </c:pt>
                <c:pt idx="16">
                  <c:v>289</c:v>
                </c:pt>
                <c:pt idx="17">
                  <c:v>324</c:v>
                </c:pt>
                <c:pt idx="18">
                  <c:v>361</c:v>
                </c:pt>
                <c:pt idx="19">
                  <c:v>400</c:v>
                </c:pt>
                <c:pt idx="20">
                  <c:v>441</c:v>
                </c:pt>
                <c:pt idx="21">
                  <c:v>484</c:v>
                </c:pt>
                <c:pt idx="22">
                  <c:v>529</c:v>
                </c:pt>
                <c:pt idx="23">
                  <c:v>576</c:v>
                </c:pt>
                <c:pt idx="24">
                  <c:v>625</c:v>
                </c:pt>
                <c:pt idx="25">
                  <c:v>676</c:v>
                </c:pt>
                <c:pt idx="26">
                  <c:v>729</c:v>
                </c:pt>
                <c:pt idx="27">
                  <c:v>784</c:v>
                </c:pt>
                <c:pt idx="28">
                  <c:v>841</c:v>
                </c:pt>
                <c:pt idx="29">
                  <c:v>900</c:v>
                </c:pt>
              </c:numCache>
            </c:numRef>
          </c:xVal>
          <c:yVal>
            <c:numRef>
              <c:f>Sheet2!$C$26:$C$55</c:f>
              <c:numCache>
                <c:formatCode>General</c:formatCode>
                <c:ptCount val="30"/>
                <c:pt idx="0">
                  <c:v>-6.9806451612903313</c:v>
                </c:pt>
                <c:pt idx="1">
                  <c:v>-3.5365962180200317</c:v>
                </c:pt>
                <c:pt idx="2">
                  <c:v>-4.1338630224058548</c:v>
                </c:pt>
                <c:pt idx="3">
                  <c:v>0.22755442555219574</c:v>
                </c:pt>
                <c:pt idx="4">
                  <c:v>3.5476561258541199</c:v>
                </c:pt>
                <c:pt idx="5">
                  <c:v>3.8264420784999196</c:v>
                </c:pt>
                <c:pt idx="6">
                  <c:v>9.0639122834895911</c:v>
                </c:pt>
                <c:pt idx="7">
                  <c:v>4.2600667408231381</c:v>
                </c:pt>
                <c:pt idx="8">
                  <c:v>5.4149054505005569</c:v>
                </c:pt>
                <c:pt idx="9">
                  <c:v>6.5284284125218512</c:v>
                </c:pt>
                <c:pt idx="10">
                  <c:v>-5.3993643731129808</c:v>
                </c:pt>
                <c:pt idx="11">
                  <c:v>-2.3684729064039374</c:v>
                </c:pt>
                <c:pt idx="12">
                  <c:v>-5.3788971873510221</c:v>
                </c:pt>
                <c:pt idx="13">
                  <c:v>2.5693627840457687</c:v>
                </c:pt>
                <c:pt idx="14">
                  <c:v>0.47630700778643487</c:v>
                </c:pt>
                <c:pt idx="15">
                  <c:v>4.3419354838709729</c:v>
                </c:pt>
                <c:pt idx="16">
                  <c:v>0.16624821229938647</c:v>
                </c:pt>
                <c:pt idx="17">
                  <c:v>-8.0507548069283281</c:v>
                </c:pt>
                <c:pt idx="18">
                  <c:v>-10.309073573812167</c:v>
                </c:pt>
                <c:pt idx="19">
                  <c:v>6.391291911647869</c:v>
                </c:pt>
                <c:pt idx="20">
                  <c:v>7.0503416494517772</c:v>
                </c:pt>
                <c:pt idx="21">
                  <c:v>-14.331924360400439</c:v>
                </c:pt>
                <c:pt idx="22">
                  <c:v>7.2444938820912164</c:v>
                </c:pt>
                <c:pt idx="23">
                  <c:v>-17.220403623073253</c:v>
                </c:pt>
                <c:pt idx="24">
                  <c:v>5.2733831241061537</c:v>
                </c:pt>
                <c:pt idx="25">
                  <c:v>4.725854123629432</c:v>
                </c:pt>
                <c:pt idx="26">
                  <c:v>1.1370093754965822</c:v>
                </c:pt>
                <c:pt idx="27">
                  <c:v>3.5068488797076114</c:v>
                </c:pt>
                <c:pt idx="28">
                  <c:v>-0.16462736373748754</c:v>
                </c:pt>
                <c:pt idx="29">
                  <c:v>2.1225806451612854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99A-ED46-A1A8-F72CA02A98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8998272"/>
        <c:axId val="1809000064"/>
      </c:scatterChart>
      <c:valAx>
        <c:axId val="18089982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X2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09000064"/>
        <c:crosses val="autoZero"/>
        <c:crossBetween val="midCat"/>
      </c:valAx>
      <c:valAx>
        <c:axId val="180900006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08998272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X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strRef>
              <c:f>Sheet2!$C$6:$C$35</c:f>
              <c:strCache>
                <c:ptCount val="30"/>
                <c:pt idx="5">
                  <c:v>SS</c:v>
                </c:pt>
                <c:pt idx="6">
                  <c:v>2949,37137</c:v>
                </c:pt>
                <c:pt idx="7">
                  <c:v>1251,595296</c:v>
                </c:pt>
                <c:pt idx="8">
                  <c:v>4200,966667</c:v>
                </c:pt>
                <c:pt idx="10">
                  <c:v>Standard Error</c:v>
                </c:pt>
                <c:pt idx="11">
                  <c:v>3,992360697</c:v>
                </c:pt>
                <c:pt idx="12">
                  <c:v>0,018581974</c:v>
                </c:pt>
                <c:pt idx="13">
                  <c:v>0,593673963</c:v>
                </c:pt>
                <c:pt idx="19">
                  <c:v>Residuals</c:v>
                </c:pt>
                <c:pt idx="20">
                  <c:v>-6,980645161</c:v>
                </c:pt>
                <c:pt idx="21">
                  <c:v>-3,536596218</c:v>
                </c:pt>
                <c:pt idx="22">
                  <c:v>-4,133863022</c:v>
                </c:pt>
                <c:pt idx="23">
                  <c:v>0,227554426</c:v>
                </c:pt>
                <c:pt idx="24">
                  <c:v>3,547656126</c:v>
                </c:pt>
                <c:pt idx="25">
                  <c:v>3,826442078</c:v>
                </c:pt>
                <c:pt idx="26">
                  <c:v>9,063912283</c:v>
                </c:pt>
                <c:pt idx="27">
                  <c:v>4,260066741</c:v>
                </c:pt>
                <c:pt idx="28">
                  <c:v>5,414905451</c:v>
                </c:pt>
                <c:pt idx="29">
                  <c:v>6,528428413</c:v>
                </c:pt>
              </c:strCache>
            </c:strRef>
          </c:xVal>
          <c:yVal>
            <c:numRef>
              <c:f>Sheet2!$C$26:$C$55</c:f>
              <c:numCache>
                <c:formatCode>General</c:formatCode>
                <c:ptCount val="30"/>
                <c:pt idx="0">
                  <c:v>-6.9806451612903313</c:v>
                </c:pt>
                <c:pt idx="1">
                  <c:v>-3.5365962180200317</c:v>
                </c:pt>
                <c:pt idx="2">
                  <c:v>-4.1338630224058548</c:v>
                </c:pt>
                <c:pt idx="3">
                  <c:v>0.22755442555219574</c:v>
                </c:pt>
                <c:pt idx="4">
                  <c:v>3.5476561258541199</c:v>
                </c:pt>
                <c:pt idx="5">
                  <c:v>3.8264420784999196</c:v>
                </c:pt>
                <c:pt idx="6">
                  <c:v>9.0639122834895911</c:v>
                </c:pt>
                <c:pt idx="7">
                  <c:v>4.2600667408231381</c:v>
                </c:pt>
                <c:pt idx="8">
                  <c:v>5.4149054505005569</c:v>
                </c:pt>
                <c:pt idx="9">
                  <c:v>6.5284284125218512</c:v>
                </c:pt>
                <c:pt idx="10">
                  <c:v>-5.3993643731129808</c:v>
                </c:pt>
                <c:pt idx="11">
                  <c:v>-2.3684729064039374</c:v>
                </c:pt>
                <c:pt idx="12">
                  <c:v>-5.3788971873510221</c:v>
                </c:pt>
                <c:pt idx="13">
                  <c:v>2.5693627840457687</c:v>
                </c:pt>
                <c:pt idx="14">
                  <c:v>0.47630700778643487</c:v>
                </c:pt>
                <c:pt idx="15">
                  <c:v>4.3419354838709729</c:v>
                </c:pt>
                <c:pt idx="16">
                  <c:v>0.16624821229938647</c:v>
                </c:pt>
                <c:pt idx="17">
                  <c:v>-8.0507548069283281</c:v>
                </c:pt>
                <c:pt idx="18">
                  <c:v>-10.309073573812167</c:v>
                </c:pt>
                <c:pt idx="19">
                  <c:v>6.391291911647869</c:v>
                </c:pt>
                <c:pt idx="20">
                  <c:v>7.0503416494517772</c:v>
                </c:pt>
                <c:pt idx="21">
                  <c:v>-14.331924360400439</c:v>
                </c:pt>
                <c:pt idx="22">
                  <c:v>7.2444938820912164</c:v>
                </c:pt>
                <c:pt idx="23">
                  <c:v>-17.220403623073253</c:v>
                </c:pt>
                <c:pt idx="24">
                  <c:v>5.2733831241061537</c:v>
                </c:pt>
                <c:pt idx="25">
                  <c:v>4.725854123629432</c:v>
                </c:pt>
                <c:pt idx="26">
                  <c:v>1.1370093754965822</c:v>
                </c:pt>
                <c:pt idx="27">
                  <c:v>3.5068488797076114</c:v>
                </c:pt>
                <c:pt idx="28">
                  <c:v>-0.16462736373748754</c:v>
                </c:pt>
                <c:pt idx="29">
                  <c:v>2.1225806451612854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284-DA4C-A2D4-6B03E4216D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9990528"/>
        <c:axId val="1809992320"/>
      </c:scatterChart>
      <c:valAx>
        <c:axId val="18099905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X</a:t>
                </a:r>
              </a:p>
            </c:rich>
          </c:tx>
          <c:overlay val="0"/>
        </c:title>
        <c:majorTickMark val="out"/>
        <c:minorTickMark val="none"/>
        <c:tickLblPos val="nextTo"/>
        <c:crossAx val="1809992320"/>
        <c:crosses val="autoZero"/>
        <c:crossBetween val="midCat"/>
      </c:valAx>
      <c:valAx>
        <c:axId val="180999232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09990528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X2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BIO</c:v>
          </c:tx>
          <c:spPr>
            <a:ln w="19050">
              <a:noFill/>
            </a:ln>
          </c:spPr>
          <c:xVal>
            <c:numRef>
              <c:f>ex_1!$B$6:$B$35</c:f>
              <c:numCache>
                <c:formatCode>General</c:formatCode>
                <c:ptCount val="30"/>
                <c:pt idx="0">
                  <c:v>1</c:v>
                </c:pt>
                <c:pt idx="1">
                  <c:v>4</c:v>
                </c:pt>
                <c:pt idx="2">
                  <c:v>9</c:v>
                </c:pt>
                <c:pt idx="3">
                  <c:v>16</c:v>
                </c:pt>
                <c:pt idx="4">
                  <c:v>25</c:v>
                </c:pt>
                <c:pt idx="5">
                  <c:v>36</c:v>
                </c:pt>
                <c:pt idx="6">
                  <c:v>49</c:v>
                </c:pt>
                <c:pt idx="7">
                  <c:v>64</c:v>
                </c:pt>
                <c:pt idx="8">
                  <c:v>81</c:v>
                </c:pt>
                <c:pt idx="9">
                  <c:v>100</c:v>
                </c:pt>
                <c:pt idx="10">
                  <c:v>121</c:v>
                </c:pt>
                <c:pt idx="11">
                  <c:v>144</c:v>
                </c:pt>
                <c:pt idx="12">
                  <c:v>169</c:v>
                </c:pt>
                <c:pt idx="13">
                  <c:v>196</c:v>
                </c:pt>
                <c:pt idx="14">
                  <c:v>225</c:v>
                </c:pt>
                <c:pt idx="15">
                  <c:v>256</c:v>
                </c:pt>
                <c:pt idx="16">
                  <c:v>289</c:v>
                </c:pt>
                <c:pt idx="17">
                  <c:v>324</c:v>
                </c:pt>
                <c:pt idx="18">
                  <c:v>361</c:v>
                </c:pt>
                <c:pt idx="19">
                  <c:v>400</c:v>
                </c:pt>
                <c:pt idx="20">
                  <c:v>441</c:v>
                </c:pt>
                <c:pt idx="21">
                  <c:v>484</c:v>
                </c:pt>
                <c:pt idx="22">
                  <c:v>529</c:v>
                </c:pt>
                <c:pt idx="23">
                  <c:v>576</c:v>
                </c:pt>
                <c:pt idx="24">
                  <c:v>625</c:v>
                </c:pt>
                <c:pt idx="25">
                  <c:v>676</c:v>
                </c:pt>
                <c:pt idx="26">
                  <c:v>729</c:v>
                </c:pt>
                <c:pt idx="27">
                  <c:v>784</c:v>
                </c:pt>
                <c:pt idx="28">
                  <c:v>841</c:v>
                </c:pt>
                <c:pt idx="29">
                  <c:v>900</c:v>
                </c:pt>
              </c:numCache>
            </c:numRef>
          </c:xVal>
          <c:yVal>
            <c:numRef>
              <c:f>ex_1!$D$6:$D$35</c:f>
              <c:numCache>
                <c:formatCode>General</c:formatCode>
                <c:ptCount val="30"/>
                <c:pt idx="0">
                  <c:v>2</c:v>
                </c:pt>
                <c:pt idx="1">
                  <c:v>6</c:v>
                </c:pt>
                <c:pt idx="2">
                  <c:v>6</c:v>
                </c:pt>
                <c:pt idx="3">
                  <c:v>11</c:v>
                </c:pt>
                <c:pt idx="4">
                  <c:v>15</c:v>
                </c:pt>
                <c:pt idx="5">
                  <c:v>16</c:v>
                </c:pt>
                <c:pt idx="6">
                  <c:v>22</c:v>
                </c:pt>
                <c:pt idx="7">
                  <c:v>18</c:v>
                </c:pt>
                <c:pt idx="8">
                  <c:v>20</c:v>
                </c:pt>
                <c:pt idx="9">
                  <c:v>22</c:v>
                </c:pt>
                <c:pt idx="10">
                  <c:v>11</c:v>
                </c:pt>
                <c:pt idx="11">
                  <c:v>15</c:v>
                </c:pt>
                <c:pt idx="12">
                  <c:v>13</c:v>
                </c:pt>
                <c:pt idx="13">
                  <c:v>22</c:v>
                </c:pt>
                <c:pt idx="14">
                  <c:v>21</c:v>
                </c:pt>
                <c:pt idx="15">
                  <c:v>26</c:v>
                </c:pt>
                <c:pt idx="16">
                  <c:v>23</c:v>
                </c:pt>
                <c:pt idx="17">
                  <c:v>16</c:v>
                </c:pt>
                <c:pt idx="18">
                  <c:v>15</c:v>
                </c:pt>
                <c:pt idx="19">
                  <c:v>33</c:v>
                </c:pt>
                <c:pt idx="20">
                  <c:v>35</c:v>
                </c:pt>
                <c:pt idx="21">
                  <c:v>15</c:v>
                </c:pt>
                <c:pt idx="22">
                  <c:v>38</c:v>
                </c:pt>
                <c:pt idx="23">
                  <c:v>15</c:v>
                </c:pt>
                <c:pt idx="24">
                  <c:v>39</c:v>
                </c:pt>
                <c:pt idx="25">
                  <c:v>40</c:v>
                </c:pt>
                <c:pt idx="26">
                  <c:v>38</c:v>
                </c:pt>
                <c:pt idx="27">
                  <c:v>42</c:v>
                </c:pt>
                <c:pt idx="28">
                  <c:v>40</c:v>
                </c:pt>
                <c:pt idx="29">
                  <c:v>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6D-B947-AADD-D819888FD9E1}"/>
            </c:ext>
          </c:extLst>
        </c:ser>
        <c:ser>
          <c:idx val="1"/>
          <c:order val="1"/>
          <c:tx>
            <c:v>Predicted BIO</c:v>
          </c:tx>
          <c:spPr>
            <a:ln w="19050">
              <a:noFill/>
            </a:ln>
          </c:spPr>
          <c:xVal>
            <c:numRef>
              <c:f>ex_1!$B$6:$B$35</c:f>
              <c:numCache>
                <c:formatCode>General</c:formatCode>
                <c:ptCount val="30"/>
                <c:pt idx="0">
                  <c:v>1</c:v>
                </c:pt>
                <c:pt idx="1">
                  <c:v>4</c:v>
                </c:pt>
                <c:pt idx="2">
                  <c:v>9</c:v>
                </c:pt>
                <c:pt idx="3">
                  <c:v>16</c:v>
                </c:pt>
                <c:pt idx="4">
                  <c:v>25</c:v>
                </c:pt>
                <c:pt idx="5">
                  <c:v>36</c:v>
                </c:pt>
                <c:pt idx="6">
                  <c:v>49</c:v>
                </c:pt>
                <c:pt idx="7">
                  <c:v>64</c:v>
                </c:pt>
                <c:pt idx="8">
                  <c:v>81</c:v>
                </c:pt>
                <c:pt idx="9">
                  <c:v>100</c:v>
                </c:pt>
                <c:pt idx="10">
                  <c:v>121</c:v>
                </c:pt>
                <c:pt idx="11">
                  <c:v>144</c:v>
                </c:pt>
                <c:pt idx="12">
                  <c:v>169</c:v>
                </c:pt>
                <c:pt idx="13">
                  <c:v>196</c:v>
                </c:pt>
                <c:pt idx="14">
                  <c:v>225</c:v>
                </c:pt>
                <c:pt idx="15">
                  <c:v>256</c:v>
                </c:pt>
                <c:pt idx="16">
                  <c:v>289</c:v>
                </c:pt>
                <c:pt idx="17">
                  <c:v>324</c:v>
                </c:pt>
                <c:pt idx="18">
                  <c:v>361</c:v>
                </c:pt>
                <c:pt idx="19">
                  <c:v>400</c:v>
                </c:pt>
                <c:pt idx="20">
                  <c:v>441</c:v>
                </c:pt>
                <c:pt idx="21">
                  <c:v>484</c:v>
                </c:pt>
                <c:pt idx="22">
                  <c:v>529</c:v>
                </c:pt>
                <c:pt idx="23">
                  <c:v>576</c:v>
                </c:pt>
                <c:pt idx="24">
                  <c:v>625</c:v>
                </c:pt>
                <c:pt idx="25">
                  <c:v>676</c:v>
                </c:pt>
                <c:pt idx="26">
                  <c:v>729</c:v>
                </c:pt>
                <c:pt idx="27">
                  <c:v>784</c:v>
                </c:pt>
                <c:pt idx="28">
                  <c:v>841</c:v>
                </c:pt>
                <c:pt idx="29">
                  <c:v>900</c:v>
                </c:pt>
              </c:numCache>
            </c:numRef>
          </c:xVal>
          <c:yVal>
            <c:numRef>
              <c:f>Sheet2!$B$26:$B$55</c:f>
              <c:numCache>
                <c:formatCode>General</c:formatCode>
                <c:ptCount val="30"/>
                <c:pt idx="0">
                  <c:v>8.9806451612903313</c:v>
                </c:pt>
                <c:pt idx="1">
                  <c:v>9.5365962180200317</c:v>
                </c:pt>
                <c:pt idx="2">
                  <c:v>10.133863022405855</c:v>
                </c:pt>
                <c:pt idx="3">
                  <c:v>10.772445574447804</c:v>
                </c:pt>
                <c:pt idx="4">
                  <c:v>11.45234387414588</c:v>
                </c:pt>
                <c:pt idx="5">
                  <c:v>12.17355792150008</c:v>
                </c:pt>
                <c:pt idx="6">
                  <c:v>12.936087716510409</c:v>
                </c:pt>
                <c:pt idx="7">
                  <c:v>13.739933259176862</c:v>
                </c:pt>
                <c:pt idx="8">
                  <c:v>14.585094549499443</c:v>
                </c:pt>
                <c:pt idx="9">
                  <c:v>15.471571587478149</c:v>
                </c:pt>
                <c:pt idx="10">
                  <c:v>16.399364373112981</c:v>
                </c:pt>
                <c:pt idx="11">
                  <c:v>17.368472906403937</c:v>
                </c:pt>
                <c:pt idx="12">
                  <c:v>18.378897187351022</c:v>
                </c:pt>
                <c:pt idx="13">
                  <c:v>19.430637215954231</c:v>
                </c:pt>
                <c:pt idx="14">
                  <c:v>20.523692992213565</c:v>
                </c:pt>
                <c:pt idx="15">
                  <c:v>21.658064516129027</c:v>
                </c:pt>
                <c:pt idx="16">
                  <c:v>22.833751787700614</c:v>
                </c:pt>
                <c:pt idx="17">
                  <c:v>24.050754806928328</c:v>
                </c:pt>
                <c:pt idx="18">
                  <c:v>25.309073573812167</c:v>
                </c:pt>
                <c:pt idx="19">
                  <c:v>26.608708088352131</c:v>
                </c:pt>
                <c:pt idx="20">
                  <c:v>27.949658350548223</c:v>
                </c:pt>
                <c:pt idx="21">
                  <c:v>29.331924360400439</c:v>
                </c:pt>
                <c:pt idx="22">
                  <c:v>30.755506117908784</c:v>
                </c:pt>
                <c:pt idx="23">
                  <c:v>32.220403623073253</c:v>
                </c:pt>
                <c:pt idx="24">
                  <c:v>33.726616875893846</c:v>
                </c:pt>
                <c:pt idx="25">
                  <c:v>35.274145876370568</c:v>
                </c:pt>
                <c:pt idx="26">
                  <c:v>36.862990624503418</c:v>
                </c:pt>
                <c:pt idx="27">
                  <c:v>38.493151120292389</c:v>
                </c:pt>
                <c:pt idx="28">
                  <c:v>40.164627363737488</c:v>
                </c:pt>
                <c:pt idx="29">
                  <c:v>41.877419354838715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76D-B947-AADD-D819888FD9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0022400"/>
        <c:axId val="1810024192"/>
      </c:scatterChart>
      <c:valAx>
        <c:axId val="18100224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X2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10024192"/>
        <c:crosses val="autoZero"/>
        <c:crossBetween val="midCat"/>
      </c:valAx>
      <c:valAx>
        <c:axId val="181002419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BIO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10022400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X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BIO</c:v>
          </c:tx>
          <c:spPr>
            <a:ln w="19050">
              <a:noFill/>
            </a:ln>
          </c:spPr>
          <c:xVal>
            <c:strRef>
              <c:f>Sheet2!$C$6:$C$35</c:f>
              <c:strCache>
                <c:ptCount val="30"/>
                <c:pt idx="5">
                  <c:v>SS</c:v>
                </c:pt>
                <c:pt idx="6">
                  <c:v>2949,37137</c:v>
                </c:pt>
                <c:pt idx="7">
                  <c:v>1251,595296</c:v>
                </c:pt>
                <c:pt idx="8">
                  <c:v>4200,966667</c:v>
                </c:pt>
                <c:pt idx="10">
                  <c:v>Standard Error</c:v>
                </c:pt>
                <c:pt idx="11">
                  <c:v>3,992360697</c:v>
                </c:pt>
                <c:pt idx="12">
                  <c:v>0,018581974</c:v>
                </c:pt>
                <c:pt idx="13">
                  <c:v>0,593673963</c:v>
                </c:pt>
                <c:pt idx="19">
                  <c:v>Residuals</c:v>
                </c:pt>
                <c:pt idx="20">
                  <c:v>-6,980645161</c:v>
                </c:pt>
                <c:pt idx="21">
                  <c:v>-3,536596218</c:v>
                </c:pt>
                <c:pt idx="22">
                  <c:v>-4,133863022</c:v>
                </c:pt>
                <c:pt idx="23">
                  <c:v>0,227554426</c:v>
                </c:pt>
                <c:pt idx="24">
                  <c:v>3,547656126</c:v>
                </c:pt>
                <c:pt idx="25">
                  <c:v>3,826442078</c:v>
                </c:pt>
                <c:pt idx="26">
                  <c:v>9,063912283</c:v>
                </c:pt>
                <c:pt idx="27">
                  <c:v>4,260066741</c:v>
                </c:pt>
                <c:pt idx="28">
                  <c:v>5,414905451</c:v>
                </c:pt>
                <c:pt idx="29">
                  <c:v>6,528428413</c:v>
                </c:pt>
              </c:strCache>
            </c:strRef>
          </c:xVal>
          <c:yVal>
            <c:numRef>
              <c:f>ex_1!$D$6:$D$35</c:f>
              <c:numCache>
                <c:formatCode>General</c:formatCode>
                <c:ptCount val="30"/>
                <c:pt idx="0">
                  <c:v>2</c:v>
                </c:pt>
                <c:pt idx="1">
                  <c:v>6</c:v>
                </c:pt>
                <c:pt idx="2">
                  <c:v>6</c:v>
                </c:pt>
                <c:pt idx="3">
                  <c:v>11</c:v>
                </c:pt>
                <c:pt idx="4">
                  <c:v>15</c:v>
                </c:pt>
                <c:pt idx="5">
                  <c:v>16</c:v>
                </c:pt>
                <c:pt idx="6">
                  <c:v>22</c:v>
                </c:pt>
                <c:pt idx="7">
                  <c:v>18</c:v>
                </c:pt>
                <c:pt idx="8">
                  <c:v>20</c:v>
                </c:pt>
                <c:pt idx="9">
                  <c:v>22</c:v>
                </c:pt>
                <c:pt idx="10">
                  <c:v>11</c:v>
                </c:pt>
                <c:pt idx="11">
                  <c:v>15</c:v>
                </c:pt>
                <c:pt idx="12">
                  <c:v>13</c:v>
                </c:pt>
                <c:pt idx="13">
                  <c:v>22</c:v>
                </c:pt>
                <c:pt idx="14">
                  <c:v>21</c:v>
                </c:pt>
                <c:pt idx="15">
                  <c:v>26</c:v>
                </c:pt>
                <c:pt idx="16">
                  <c:v>23</c:v>
                </c:pt>
                <c:pt idx="17">
                  <c:v>16</c:v>
                </c:pt>
                <c:pt idx="18">
                  <c:v>15</c:v>
                </c:pt>
                <c:pt idx="19">
                  <c:v>33</c:v>
                </c:pt>
                <c:pt idx="20">
                  <c:v>35</c:v>
                </c:pt>
                <c:pt idx="21">
                  <c:v>15</c:v>
                </c:pt>
                <c:pt idx="22">
                  <c:v>38</c:v>
                </c:pt>
                <c:pt idx="23">
                  <c:v>15</c:v>
                </c:pt>
                <c:pt idx="24">
                  <c:v>39</c:v>
                </c:pt>
                <c:pt idx="25">
                  <c:v>40</c:v>
                </c:pt>
                <c:pt idx="26">
                  <c:v>38</c:v>
                </c:pt>
                <c:pt idx="27">
                  <c:v>42</c:v>
                </c:pt>
                <c:pt idx="28">
                  <c:v>40</c:v>
                </c:pt>
                <c:pt idx="29">
                  <c:v>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FA9-CC4A-B2A1-6575BFE3FD84}"/>
            </c:ext>
          </c:extLst>
        </c:ser>
        <c:ser>
          <c:idx val="1"/>
          <c:order val="1"/>
          <c:tx>
            <c:v>Predicted BIO</c:v>
          </c:tx>
          <c:spPr>
            <a:ln w="19050">
              <a:noFill/>
            </a:ln>
          </c:spPr>
          <c:xVal>
            <c:strRef>
              <c:f>Sheet2!$C$6:$C$35</c:f>
              <c:strCache>
                <c:ptCount val="30"/>
                <c:pt idx="5">
                  <c:v>SS</c:v>
                </c:pt>
                <c:pt idx="6">
                  <c:v>2949,37137</c:v>
                </c:pt>
                <c:pt idx="7">
                  <c:v>1251,595296</c:v>
                </c:pt>
                <c:pt idx="8">
                  <c:v>4200,966667</c:v>
                </c:pt>
                <c:pt idx="10">
                  <c:v>Standard Error</c:v>
                </c:pt>
                <c:pt idx="11">
                  <c:v>3,992360697</c:v>
                </c:pt>
                <c:pt idx="12">
                  <c:v>0,018581974</c:v>
                </c:pt>
                <c:pt idx="13">
                  <c:v>0,593673963</c:v>
                </c:pt>
                <c:pt idx="19">
                  <c:v>Residuals</c:v>
                </c:pt>
                <c:pt idx="20">
                  <c:v>-6,980645161</c:v>
                </c:pt>
                <c:pt idx="21">
                  <c:v>-3,536596218</c:v>
                </c:pt>
                <c:pt idx="22">
                  <c:v>-4,133863022</c:v>
                </c:pt>
                <c:pt idx="23">
                  <c:v>0,227554426</c:v>
                </c:pt>
                <c:pt idx="24">
                  <c:v>3,547656126</c:v>
                </c:pt>
                <c:pt idx="25">
                  <c:v>3,826442078</c:v>
                </c:pt>
                <c:pt idx="26">
                  <c:v>9,063912283</c:v>
                </c:pt>
                <c:pt idx="27">
                  <c:v>4,260066741</c:v>
                </c:pt>
                <c:pt idx="28">
                  <c:v>5,414905451</c:v>
                </c:pt>
                <c:pt idx="29">
                  <c:v>6,528428413</c:v>
                </c:pt>
              </c:strCache>
            </c:strRef>
          </c:xVal>
          <c:yVal>
            <c:numRef>
              <c:f>Sheet2!$B$26:$B$55</c:f>
              <c:numCache>
                <c:formatCode>General</c:formatCode>
                <c:ptCount val="30"/>
                <c:pt idx="0">
                  <c:v>8.9806451612903313</c:v>
                </c:pt>
                <c:pt idx="1">
                  <c:v>9.5365962180200317</c:v>
                </c:pt>
                <c:pt idx="2">
                  <c:v>10.133863022405855</c:v>
                </c:pt>
                <c:pt idx="3">
                  <c:v>10.772445574447804</c:v>
                </c:pt>
                <c:pt idx="4">
                  <c:v>11.45234387414588</c:v>
                </c:pt>
                <c:pt idx="5">
                  <c:v>12.17355792150008</c:v>
                </c:pt>
                <c:pt idx="6">
                  <c:v>12.936087716510409</c:v>
                </c:pt>
                <c:pt idx="7">
                  <c:v>13.739933259176862</c:v>
                </c:pt>
                <c:pt idx="8">
                  <c:v>14.585094549499443</c:v>
                </c:pt>
                <c:pt idx="9">
                  <c:v>15.471571587478149</c:v>
                </c:pt>
                <c:pt idx="10">
                  <c:v>16.399364373112981</c:v>
                </c:pt>
                <c:pt idx="11">
                  <c:v>17.368472906403937</c:v>
                </c:pt>
                <c:pt idx="12">
                  <c:v>18.378897187351022</c:v>
                </c:pt>
                <c:pt idx="13">
                  <c:v>19.430637215954231</c:v>
                </c:pt>
                <c:pt idx="14">
                  <c:v>20.523692992213565</c:v>
                </c:pt>
                <c:pt idx="15">
                  <c:v>21.658064516129027</c:v>
                </c:pt>
                <c:pt idx="16">
                  <c:v>22.833751787700614</c:v>
                </c:pt>
                <c:pt idx="17">
                  <c:v>24.050754806928328</c:v>
                </c:pt>
                <c:pt idx="18">
                  <c:v>25.309073573812167</c:v>
                </c:pt>
                <c:pt idx="19">
                  <c:v>26.608708088352131</c:v>
                </c:pt>
                <c:pt idx="20">
                  <c:v>27.949658350548223</c:v>
                </c:pt>
                <c:pt idx="21">
                  <c:v>29.331924360400439</c:v>
                </c:pt>
                <c:pt idx="22">
                  <c:v>30.755506117908784</c:v>
                </c:pt>
                <c:pt idx="23">
                  <c:v>32.220403623073253</c:v>
                </c:pt>
                <c:pt idx="24">
                  <c:v>33.726616875893846</c:v>
                </c:pt>
                <c:pt idx="25">
                  <c:v>35.274145876370568</c:v>
                </c:pt>
                <c:pt idx="26">
                  <c:v>36.862990624503418</c:v>
                </c:pt>
                <c:pt idx="27">
                  <c:v>38.493151120292389</c:v>
                </c:pt>
                <c:pt idx="28">
                  <c:v>40.164627363737488</c:v>
                </c:pt>
                <c:pt idx="29">
                  <c:v>41.877419354838715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FA9-CC4A-B2A1-6575BFE3FD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0036736"/>
        <c:axId val="1810000384"/>
      </c:scatterChart>
      <c:valAx>
        <c:axId val="18100367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X</a:t>
                </a:r>
              </a:p>
            </c:rich>
          </c:tx>
          <c:overlay val="0"/>
        </c:title>
        <c:majorTickMark val="out"/>
        <c:minorTickMark val="none"/>
        <c:tickLblPos val="nextTo"/>
        <c:crossAx val="1810000384"/>
        <c:crosses val="autoZero"/>
        <c:crossBetween val="midCat"/>
      </c:valAx>
      <c:valAx>
        <c:axId val="181000038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BIO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10036736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X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ex_1!$C$6:$C$35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xVal>
          <c:yVal>
            <c:numRef>
              <c:f>Sheet3!$C$25:$C$54</c:f>
              <c:numCache>
                <c:formatCode>General</c:formatCode>
                <c:ptCount val="30"/>
                <c:pt idx="0">
                  <c:v>-0.59364582764424023</c:v>
                </c:pt>
                <c:pt idx="1">
                  <c:v>-0.14289011208867597</c:v>
                </c:pt>
                <c:pt idx="2">
                  <c:v>-0.16925565125277409</c:v>
                </c:pt>
                <c:pt idx="3">
                  <c:v>6.7620244357709192E-2</c:v>
                </c:pt>
                <c:pt idx="4">
                  <c:v>0.17595327909106739</c:v>
                </c:pt>
                <c:pt idx="5">
                  <c:v>0.17761646352721261</c:v>
                </c:pt>
                <c:pt idx="6">
                  <c:v>0.28955362252939576</c:v>
                </c:pt>
                <c:pt idx="7">
                  <c:v>0.1760379076463976</c:v>
                </c:pt>
                <c:pt idx="8">
                  <c:v>0.19542985904297461</c:v>
                </c:pt>
                <c:pt idx="9">
                  <c:v>0.2104570050371013</c:v>
                </c:pt>
                <c:pt idx="10">
                  <c:v>-0.11693852979097796</c:v>
                </c:pt>
                <c:pt idx="11">
                  <c:v>-8.6054950576197609E-3</c:v>
                </c:pt>
                <c:pt idx="12">
                  <c:v>-9.7118940970562617E-2</c:v>
                </c:pt>
                <c:pt idx="13">
                  <c:v>0.10499484838070861</c:v>
                </c:pt>
                <c:pt idx="14">
                  <c:v>5.8425923128323731E-2</c:v>
                </c:pt>
                <c:pt idx="15">
                  <c:v>0.12481443720112417</c:v>
                </c:pt>
                <c:pt idx="16">
                  <c:v>4.5203386083800812E-2</c:v>
                </c:pt>
                <c:pt idx="17">
                  <c:v>-0.13877000644196524</c:v>
                </c:pt>
                <c:pt idx="18">
                  <c:v>-0.19316426920630692</c:v>
                </c:pt>
                <c:pt idx="19">
                  <c:v>0.12289287245180103</c:v>
                </c:pt>
                <c:pt idx="20">
                  <c:v>0.12208143776009117</c:v>
                </c:pt>
                <c:pt idx="21">
                  <c:v>-0.27226088669860138</c:v>
                </c:pt>
                <c:pt idx="22">
                  <c:v>0.10506591169842916</c:v>
                </c:pt>
                <c:pt idx="23">
                  <c:v>-0.32499196502679784</c:v>
                </c:pt>
                <c:pt idx="24">
                  <c:v>6.361584377992191E-2</c:v>
                </c:pt>
                <c:pt idx="25">
                  <c:v>4.8245688917286866E-2</c:v>
                </c:pt>
                <c:pt idx="26">
                  <c:v>-3.9624495796353187E-4</c:v>
                </c:pt>
                <c:pt idx="27">
                  <c:v>1.6703909659028904E-2</c:v>
                </c:pt>
                <c:pt idx="28">
                  <c:v>-3.0850928575007597E-2</c:v>
                </c:pt>
                <c:pt idx="29">
                  <c:v>-1.5823782580880685E-2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353-9C4B-9D54-24150590BE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8919040"/>
        <c:axId val="1810078720"/>
      </c:scatterChart>
      <c:valAx>
        <c:axId val="18089190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X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10078720"/>
        <c:crosses val="autoZero"/>
        <c:crossBetween val="midCat"/>
      </c:valAx>
      <c:valAx>
        <c:axId val="181007872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08919040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X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LY</c:v>
          </c:tx>
          <c:spPr>
            <a:ln w="19050">
              <a:noFill/>
            </a:ln>
          </c:spPr>
          <c:xVal>
            <c:numRef>
              <c:f>ex_1!$C$6:$C$35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xVal>
          <c:yVal>
            <c:numRef>
              <c:f>ex_1!$E$6:$E$35</c:f>
              <c:numCache>
                <c:formatCode>General</c:formatCode>
                <c:ptCount val="30"/>
                <c:pt idx="0">
                  <c:v>0.3010299956639812</c:v>
                </c:pt>
                <c:pt idx="1">
                  <c:v>0.77815125038364363</c:v>
                </c:pt>
                <c:pt idx="2">
                  <c:v>0.77815125038364363</c:v>
                </c:pt>
                <c:pt idx="3">
                  <c:v>1.0413926851582251</c:v>
                </c:pt>
                <c:pt idx="4">
                  <c:v>1.1760912590556813</c:v>
                </c:pt>
                <c:pt idx="5">
                  <c:v>1.2041199826559248</c:v>
                </c:pt>
                <c:pt idx="6">
                  <c:v>1.3424226808222062</c:v>
                </c:pt>
                <c:pt idx="7">
                  <c:v>1.255272505103306</c:v>
                </c:pt>
                <c:pt idx="8">
                  <c:v>1.3010299956639813</c:v>
                </c:pt>
                <c:pt idx="9">
                  <c:v>1.3424226808222062</c:v>
                </c:pt>
                <c:pt idx="10">
                  <c:v>1.0413926851582251</c:v>
                </c:pt>
                <c:pt idx="11">
                  <c:v>1.1760912590556813</c:v>
                </c:pt>
                <c:pt idx="12">
                  <c:v>1.1139433523068367</c:v>
                </c:pt>
                <c:pt idx="13">
                  <c:v>1.3424226808222062</c:v>
                </c:pt>
                <c:pt idx="14">
                  <c:v>1.3222192947339193</c:v>
                </c:pt>
                <c:pt idx="15">
                  <c:v>1.414973347970818</c:v>
                </c:pt>
                <c:pt idx="16">
                  <c:v>1.3617278360175928</c:v>
                </c:pt>
                <c:pt idx="17">
                  <c:v>1.2041199826559248</c:v>
                </c:pt>
                <c:pt idx="18">
                  <c:v>1.1760912590556813</c:v>
                </c:pt>
                <c:pt idx="19">
                  <c:v>1.5185139398778875</c:v>
                </c:pt>
                <c:pt idx="20">
                  <c:v>1.5440680443502757</c:v>
                </c:pt>
                <c:pt idx="21">
                  <c:v>1.1760912590556813</c:v>
                </c:pt>
                <c:pt idx="22">
                  <c:v>1.5797835966168101</c:v>
                </c:pt>
                <c:pt idx="23">
                  <c:v>1.1760912590556813</c:v>
                </c:pt>
                <c:pt idx="24">
                  <c:v>1.5910646070264991</c:v>
                </c:pt>
                <c:pt idx="25">
                  <c:v>1.6020599913279623</c:v>
                </c:pt>
                <c:pt idx="26">
                  <c:v>1.5797835966168101</c:v>
                </c:pt>
                <c:pt idx="27">
                  <c:v>1.6232492903979006</c:v>
                </c:pt>
                <c:pt idx="28">
                  <c:v>1.6020599913279623</c:v>
                </c:pt>
                <c:pt idx="29">
                  <c:v>1.6434526764861874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CDA-534F-BEAF-26C5BB52E2B3}"/>
            </c:ext>
          </c:extLst>
        </c:ser>
        <c:ser>
          <c:idx val="1"/>
          <c:order val="1"/>
          <c:tx>
            <c:v>Predicted LY</c:v>
          </c:tx>
          <c:spPr>
            <a:ln w="19050">
              <a:noFill/>
            </a:ln>
          </c:spPr>
          <c:xVal>
            <c:numRef>
              <c:f>ex_1!$C$6:$C$35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xVal>
          <c:yVal>
            <c:numRef>
              <c:f>Sheet3!$B$25:$B$54</c:f>
              <c:numCache>
                <c:formatCode>General</c:formatCode>
                <c:ptCount val="30"/>
                <c:pt idx="0">
                  <c:v>0.89467582330822137</c:v>
                </c:pt>
                <c:pt idx="1">
                  <c:v>0.9210413624723196</c:v>
                </c:pt>
                <c:pt idx="2">
                  <c:v>0.94740690163641772</c:v>
                </c:pt>
                <c:pt idx="3">
                  <c:v>0.97377244080051595</c:v>
                </c:pt>
                <c:pt idx="4">
                  <c:v>1.000137979964614</c:v>
                </c:pt>
                <c:pt idx="5">
                  <c:v>1.0265035191287122</c:v>
                </c:pt>
                <c:pt idx="6">
                  <c:v>1.0528690582928104</c:v>
                </c:pt>
                <c:pt idx="7">
                  <c:v>1.0792345974569084</c:v>
                </c:pt>
                <c:pt idx="8">
                  <c:v>1.1056001366210066</c:v>
                </c:pt>
                <c:pt idx="9">
                  <c:v>1.1319656757851049</c:v>
                </c:pt>
                <c:pt idx="10">
                  <c:v>1.1583312149492031</c:v>
                </c:pt>
                <c:pt idx="11">
                  <c:v>1.1846967541133011</c:v>
                </c:pt>
                <c:pt idx="12">
                  <c:v>1.2110622932773993</c:v>
                </c:pt>
                <c:pt idx="13">
                  <c:v>1.2374278324414976</c:v>
                </c:pt>
                <c:pt idx="14">
                  <c:v>1.2637933716055956</c:v>
                </c:pt>
                <c:pt idx="15">
                  <c:v>1.2901589107696938</c:v>
                </c:pt>
                <c:pt idx="16">
                  <c:v>1.316524449933792</c:v>
                </c:pt>
                <c:pt idx="17">
                  <c:v>1.34288998909789</c:v>
                </c:pt>
                <c:pt idx="18">
                  <c:v>1.3692555282619883</c:v>
                </c:pt>
                <c:pt idx="19">
                  <c:v>1.3956210674260865</c:v>
                </c:pt>
                <c:pt idx="20">
                  <c:v>1.4219866065901845</c:v>
                </c:pt>
                <c:pt idx="21">
                  <c:v>1.4483521457542827</c:v>
                </c:pt>
                <c:pt idx="22">
                  <c:v>1.474717684918381</c:v>
                </c:pt>
                <c:pt idx="23">
                  <c:v>1.5010832240824792</c:v>
                </c:pt>
                <c:pt idx="24">
                  <c:v>1.5274487632465772</c:v>
                </c:pt>
                <c:pt idx="25">
                  <c:v>1.5538143024106754</c:v>
                </c:pt>
                <c:pt idx="26">
                  <c:v>1.5801798415747736</c:v>
                </c:pt>
                <c:pt idx="27">
                  <c:v>1.6065453807388717</c:v>
                </c:pt>
                <c:pt idx="28">
                  <c:v>1.6329109199029699</c:v>
                </c:pt>
                <c:pt idx="29">
                  <c:v>1.6592764590670681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CDA-534F-BEAF-26C5BB52E2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9041152"/>
        <c:axId val="1808918592"/>
      </c:scatterChart>
      <c:valAx>
        <c:axId val="18090411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X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08918592"/>
        <c:crosses val="autoZero"/>
        <c:crossBetween val="midCat"/>
      </c:valAx>
      <c:valAx>
        <c:axId val="180891859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LY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09041152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279400</xdr:colOff>
      <xdr:row>1</xdr:row>
      <xdr:rowOff>63500</xdr:rowOff>
    </xdr:from>
    <xdr:to>
      <xdr:col>15</xdr:col>
      <xdr:colOff>279400</xdr:colOff>
      <xdr:row>11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3AFE71E-2C04-7F1E-99AF-4B29A6DFBC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279400</xdr:colOff>
      <xdr:row>3</xdr:row>
      <xdr:rowOff>63500</xdr:rowOff>
    </xdr:from>
    <xdr:to>
      <xdr:col>16</xdr:col>
      <xdr:colOff>279400</xdr:colOff>
      <xdr:row>13</xdr:row>
      <xdr:rowOff>63500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7AFE91D-C630-945D-9F8C-C7F3991FAE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279400</xdr:colOff>
      <xdr:row>1</xdr:row>
      <xdr:rowOff>63500</xdr:rowOff>
    </xdr:from>
    <xdr:to>
      <xdr:col>15</xdr:col>
      <xdr:colOff>279400</xdr:colOff>
      <xdr:row>11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88106C3-472B-F731-80B1-21F4D07013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279400</xdr:colOff>
      <xdr:row>3</xdr:row>
      <xdr:rowOff>63500</xdr:rowOff>
    </xdr:from>
    <xdr:to>
      <xdr:col>16</xdr:col>
      <xdr:colOff>279400</xdr:colOff>
      <xdr:row>13</xdr:row>
      <xdr:rowOff>63500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C66FEDA-0164-A934-2257-4CAA4B2B33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279400</xdr:colOff>
      <xdr:row>5</xdr:row>
      <xdr:rowOff>63500</xdr:rowOff>
    </xdr:from>
    <xdr:to>
      <xdr:col>17</xdr:col>
      <xdr:colOff>279400</xdr:colOff>
      <xdr:row>15</xdr:row>
      <xdr:rowOff>63500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CA34A78-937B-95F6-0499-7C3D06CCE8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279400</xdr:colOff>
      <xdr:row>7</xdr:row>
      <xdr:rowOff>63500</xdr:rowOff>
    </xdr:from>
    <xdr:to>
      <xdr:col>18</xdr:col>
      <xdr:colOff>279400</xdr:colOff>
      <xdr:row>17</xdr:row>
      <xdr:rowOff>63500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5A947A6-D6CC-EC2A-D538-08D739E601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279400</xdr:colOff>
      <xdr:row>1</xdr:row>
      <xdr:rowOff>63500</xdr:rowOff>
    </xdr:from>
    <xdr:to>
      <xdr:col>15</xdr:col>
      <xdr:colOff>279400</xdr:colOff>
      <xdr:row>11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B52A5D0-8BE1-72FB-9A54-E450E6C2AE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279400</xdr:colOff>
      <xdr:row>3</xdr:row>
      <xdr:rowOff>63500</xdr:rowOff>
    </xdr:from>
    <xdr:to>
      <xdr:col>16</xdr:col>
      <xdr:colOff>279400</xdr:colOff>
      <xdr:row>13</xdr:row>
      <xdr:rowOff>63500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096A7CC-6C58-2C63-59BC-915BAFF3BA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5C697-ACBE-4A4D-ADC8-2E868F30C4F9}">
  <dimension ref="A1:E17"/>
  <sheetViews>
    <sheetView topLeftCell="A2" zoomScale="150" zoomScaleNormal="90" workbookViewId="0">
      <selection activeCell="B3" sqref="B3:E3"/>
    </sheetView>
  </sheetViews>
  <sheetFormatPr baseColWidth="10" defaultColWidth="8.83203125" defaultRowHeight="16" x14ac:dyDescent="0.2"/>
  <cols>
    <col min="2" max="2" width="14.33203125" bestFit="1" customWidth="1"/>
    <col min="4" max="4" width="41" customWidth="1"/>
    <col min="5" max="5" width="38.1640625" customWidth="1"/>
  </cols>
  <sheetData>
    <row r="1" spans="1:5" x14ac:dyDescent="0.2">
      <c r="A1" s="13"/>
      <c r="B1" s="17" t="s">
        <v>6</v>
      </c>
      <c r="C1" s="17"/>
      <c r="D1" s="17"/>
      <c r="E1" s="13"/>
    </row>
    <row r="2" spans="1:5" x14ac:dyDescent="0.2">
      <c r="A2" s="14" t="s">
        <v>1</v>
      </c>
      <c r="B2" s="16" t="s">
        <v>7</v>
      </c>
      <c r="C2" s="16"/>
      <c r="D2" s="16"/>
      <c r="E2" s="16"/>
    </row>
    <row r="3" spans="1:5" x14ac:dyDescent="0.2">
      <c r="A3" s="14" t="s">
        <v>2</v>
      </c>
      <c r="B3" s="16" t="s">
        <v>8</v>
      </c>
      <c r="C3" s="16"/>
      <c r="D3" s="16"/>
      <c r="E3" s="16"/>
    </row>
    <row r="4" spans="1:5" x14ac:dyDescent="0.2">
      <c r="A4" s="14" t="s">
        <v>3</v>
      </c>
      <c r="B4" s="16" t="s">
        <v>10</v>
      </c>
      <c r="C4" s="16"/>
      <c r="D4" s="16"/>
      <c r="E4" s="16"/>
    </row>
    <row r="5" spans="1:5" x14ac:dyDescent="0.2">
      <c r="A5" s="14" t="s">
        <v>4</v>
      </c>
      <c r="B5" s="16" t="s">
        <v>9</v>
      </c>
      <c r="C5" s="16"/>
      <c r="D5" s="16"/>
      <c r="E5" s="13"/>
    </row>
    <row r="6" spans="1:5" x14ac:dyDescent="0.2">
      <c r="A6" s="13"/>
      <c r="B6" s="13"/>
      <c r="C6" s="13"/>
      <c r="D6" s="13"/>
      <c r="E6" s="13"/>
    </row>
    <row r="7" spans="1:5" x14ac:dyDescent="0.2">
      <c r="A7" s="13"/>
      <c r="B7" s="17" t="s">
        <v>30</v>
      </c>
      <c r="C7" s="17"/>
      <c r="D7" s="17"/>
      <c r="E7" s="17"/>
    </row>
    <row r="8" spans="1:5" x14ac:dyDescent="0.2">
      <c r="A8" s="14" t="s">
        <v>1</v>
      </c>
      <c r="B8" s="16" t="s">
        <v>11</v>
      </c>
      <c r="C8" s="16"/>
      <c r="D8" s="16"/>
      <c r="E8" s="16"/>
    </row>
    <row r="9" spans="1:5" x14ac:dyDescent="0.2">
      <c r="A9" s="14" t="s">
        <v>2</v>
      </c>
      <c r="B9" s="16" t="s">
        <v>12</v>
      </c>
      <c r="C9" s="16"/>
      <c r="D9" s="16"/>
      <c r="E9" s="16"/>
    </row>
    <row r="10" spans="1:5" x14ac:dyDescent="0.2">
      <c r="A10" s="14" t="s">
        <v>3</v>
      </c>
      <c r="B10" s="16" t="s">
        <v>13</v>
      </c>
      <c r="C10" s="16"/>
      <c r="D10" s="16"/>
      <c r="E10" s="16"/>
    </row>
    <row r="11" spans="1:5" x14ac:dyDescent="0.2">
      <c r="A11" s="14" t="s">
        <v>4</v>
      </c>
      <c r="B11" s="16" t="s">
        <v>14</v>
      </c>
      <c r="C11" s="16"/>
      <c r="D11" s="16"/>
      <c r="E11" s="16"/>
    </row>
    <row r="12" spans="1:5" x14ac:dyDescent="0.2">
      <c r="A12" s="13"/>
      <c r="B12" s="13"/>
      <c r="C12" s="13"/>
      <c r="D12" s="13"/>
      <c r="E12" s="13"/>
    </row>
    <row r="13" spans="1:5" x14ac:dyDescent="0.2">
      <c r="A13" s="13"/>
      <c r="B13" s="17" t="s">
        <v>15</v>
      </c>
      <c r="C13" s="17"/>
      <c r="D13" s="17"/>
      <c r="E13" s="13"/>
    </row>
    <row r="14" spans="1:5" x14ac:dyDescent="0.2">
      <c r="A14" s="14" t="s">
        <v>1</v>
      </c>
      <c r="B14" s="15" t="s">
        <v>27</v>
      </c>
      <c r="C14" s="13"/>
      <c r="D14" s="13"/>
      <c r="E14" s="13"/>
    </row>
    <row r="15" spans="1:5" x14ac:dyDescent="0.2">
      <c r="A15" s="14" t="s">
        <v>2</v>
      </c>
      <c r="B15" s="16" t="s">
        <v>16</v>
      </c>
      <c r="C15" s="16"/>
      <c r="D15" s="16"/>
      <c r="E15" s="16"/>
    </row>
    <row r="16" spans="1:5" x14ac:dyDescent="0.2">
      <c r="A16" s="14" t="s">
        <v>3</v>
      </c>
      <c r="B16" s="16" t="s">
        <v>17</v>
      </c>
      <c r="C16" s="16"/>
      <c r="D16" s="16"/>
      <c r="E16" s="13"/>
    </row>
    <row r="17" spans="1:5" x14ac:dyDescent="0.2">
      <c r="A17" s="14" t="s">
        <v>4</v>
      </c>
      <c r="B17" s="16" t="s">
        <v>34</v>
      </c>
      <c r="C17" s="16"/>
      <c r="D17" s="16"/>
      <c r="E17" s="13"/>
    </row>
  </sheetData>
  <mergeCells count="14">
    <mergeCell ref="B7:E7"/>
    <mergeCell ref="B1:D1"/>
    <mergeCell ref="B2:E2"/>
    <mergeCell ref="B3:E3"/>
    <mergeCell ref="B4:E4"/>
    <mergeCell ref="B5:D5"/>
    <mergeCell ref="B16:D16"/>
    <mergeCell ref="B17:D17"/>
    <mergeCell ref="B8:E8"/>
    <mergeCell ref="B9:E9"/>
    <mergeCell ref="B10:E10"/>
    <mergeCell ref="B11:E11"/>
    <mergeCell ref="B13:D13"/>
    <mergeCell ref="B15:E15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0AD7D-6050-A248-893D-736B6B1B0324}">
  <dimension ref="A1:I54"/>
  <sheetViews>
    <sheetView zoomScale="101" workbookViewId="0">
      <selection activeCell="B25" sqref="B25:B54"/>
    </sheetView>
  </sheetViews>
  <sheetFormatPr baseColWidth="10" defaultRowHeight="16" x14ac:dyDescent="0.2"/>
  <sheetData>
    <row r="1" spans="1:9" x14ac:dyDescent="0.2">
      <c r="A1" t="s">
        <v>38</v>
      </c>
    </row>
    <row r="2" spans="1:9" ht="17" thickBot="1" x14ac:dyDescent="0.25"/>
    <row r="3" spans="1:9" x14ac:dyDescent="0.2">
      <c r="A3" s="23" t="s">
        <v>39</v>
      </c>
      <c r="B3" s="23"/>
    </row>
    <row r="4" spans="1:9" x14ac:dyDescent="0.2">
      <c r="A4" s="20" t="s">
        <v>40</v>
      </c>
      <c r="B4" s="20">
        <v>0.82971806971420237</v>
      </c>
    </row>
    <row r="5" spans="1:9" x14ac:dyDescent="0.2">
      <c r="A5" s="20" t="s">
        <v>41</v>
      </c>
      <c r="B5" s="20">
        <v>0.68843207521026195</v>
      </c>
    </row>
    <row r="6" spans="1:9" x14ac:dyDescent="0.2">
      <c r="A6" s="20" t="s">
        <v>42</v>
      </c>
      <c r="B6" s="20">
        <v>0.67730464932491419</v>
      </c>
    </row>
    <row r="7" spans="1:9" x14ac:dyDescent="0.2">
      <c r="A7" s="20" t="s">
        <v>43</v>
      </c>
      <c r="B7" s="20">
        <v>6.8371006450212413</v>
      </c>
    </row>
    <row r="8" spans="1:9" ht="17" thickBot="1" x14ac:dyDescent="0.25">
      <c r="A8" s="21" t="s">
        <v>44</v>
      </c>
      <c r="B8" s="21">
        <v>30</v>
      </c>
    </row>
    <row r="10" spans="1:9" ht="17" thickBot="1" x14ac:dyDescent="0.25">
      <c r="A10" t="s">
        <v>45</v>
      </c>
    </row>
    <row r="11" spans="1:9" x14ac:dyDescent="0.2">
      <c r="A11" s="22"/>
      <c r="B11" s="22" t="s">
        <v>50</v>
      </c>
      <c r="C11" s="22" t="s">
        <v>51</v>
      </c>
      <c r="D11" s="22" t="s">
        <v>52</v>
      </c>
      <c r="E11" s="22" t="s">
        <v>53</v>
      </c>
      <c r="F11" s="22" t="s">
        <v>54</v>
      </c>
    </row>
    <row r="12" spans="1:9" x14ac:dyDescent="0.2">
      <c r="A12" s="20" t="s">
        <v>46</v>
      </c>
      <c r="B12" s="20">
        <v>1</v>
      </c>
      <c r="C12" s="20">
        <v>2892.0802002224705</v>
      </c>
      <c r="D12" s="20">
        <v>2892.0802002224705</v>
      </c>
      <c r="E12" s="20">
        <v>61.868044083471787</v>
      </c>
      <c r="F12" s="20">
        <v>1.4419669704148615E-8</v>
      </c>
    </row>
    <row r="13" spans="1:9" x14ac:dyDescent="0.2">
      <c r="A13" s="20" t="s">
        <v>47</v>
      </c>
      <c r="B13" s="20">
        <v>28</v>
      </c>
      <c r="C13" s="20">
        <v>1308.8864664441967</v>
      </c>
      <c r="D13" s="20">
        <v>46.745945230149879</v>
      </c>
      <c r="E13" s="20"/>
      <c r="F13" s="20"/>
    </row>
    <row r="14" spans="1:9" ht="17" thickBot="1" x14ac:dyDescent="0.25">
      <c r="A14" s="21" t="s">
        <v>48</v>
      </c>
      <c r="B14" s="21">
        <v>29</v>
      </c>
      <c r="C14" s="21">
        <v>4200.9666666666672</v>
      </c>
      <c r="D14" s="21"/>
      <c r="E14" s="21"/>
      <c r="F14" s="21"/>
    </row>
    <row r="15" spans="1:9" ht="17" thickBot="1" x14ac:dyDescent="0.25"/>
    <row r="16" spans="1:9" x14ac:dyDescent="0.2">
      <c r="A16" s="22"/>
      <c r="B16" s="22" t="s">
        <v>55</v>
      </c>
      <c r="C16" s="22" t="s">
        <v>43</v>
      </c>
      <c r="D16" s="22" t="s">
        <v>56</v>
      </c>
      <c r="E16" s="22" t="s">
        <v>57</v>
      </c>
      <c r="F16" s="22" t="s">
        <v>58</v>
      </c>
      <c r="G16" s="22" t="s">
        <v>59</v>
      </c>
      <c r="H16" s="22" t="s">
        <v>60</v>
      </c>
      <c r="I16" s="22" t="s">
        <v>61</v>
      </c>
    </row>
    <row r="17" spans="1:9" x14ac:dyDescent="0.2">
      <c r="A17" s="20" t="s">
        <v>49</v>
      </c>
      <c r="B17" s="20">
        <v>5.0505747126436766</v>
      </c>
      <c r="C17" s="20">
        <v>2.5603082873995398</v>
      </c>
      <c r="D17" s="20">
        <v>1.9726431920327285</v>
      </c>
      <c r="E17" s="20">
        <v>5.8484277334797184E-2</v>
      </c>
      <c r="F17" s="20">
        <v>-0.19397906846309207</v>
      </c>
      <c r="G17" s="20">
        <v>10.295128493750445</v>
      </c>
      <c r="H17" s="20">
        <v>-0.19397906846309207</v>
      </c>
      <c r="I17" s="20">
        <v>10.295128493750445</v>
      </c>
    </row>
    <row r="18" spans="1:9" ht="17" thickBot="1" x14ac:dyDescent="0.25">
      <c r="A18" s="21" t="s">
        <v>35</v>
      </c>
      <c r="B18" s="21">
        <v>1.1343715239154617</v>
      </c>
      <c r="C18" s="21">
        <v>0.14421888140297595</v>
      </c>
      <c r="D18" s="21">
        <v>7.8656242017701157</v>
      </c>
      <c r="E18" s="21">
        <v>1.4419669704148615E-8</v>
      </c>
      <c r="F18" s="21">
        <v>0.83895253726788444</v>
      </c>
      <c r="G18" s="21">
        <v>1.4297905105630391</v>
      </c>
      <c r="H18" s="21">
        <v>0.83895253726788444</v>
      </c>
      <c r="I18" s="21">
        <v>1.4297905105630391</v>
      </c>
    </row>
    <row r="22" spans="1:9" x14ac:dyDescent="0.2">
      <c r="A22" t="s">
        <v>62</v>
      </c>
    </row>
    <row r="23" spans="1:9" ht="17" thickBot="1" x14ac:dyDescent="0.25"/>
    <row r="24" spans="1:9" x14ac:dyDescent="0.2">
      <c r="A24" s="22" t="s">
        <v>63</v>
      </c>
      <c r="B24" s="22" t="s">
        <v>64</v>
      </c>
      <c r="C24" s="22" t="s">
        <v>65</v>
      </c>
      <c r="D24" s="22" t="s">
        <v>66</v>
      </c>
    </row>
    <row r="25" spans="1:9" x14ac:dyDescent="0.2">
      <c r="A25" s="20">
        <v>1</v>
      </c>
      <c r="B25" s="20">
        <v>6.1849462365591386</v>
      </c>
      <c r="C25" s="20">
        <v>-4.1849462365591386</v>
      </c>
      <c r="D25" s="20">
        <v>-0.62292805874020152</v>
      </c>
    </row>
    <row r="26" spans="1:9" x14ac:dyDescent="0.2">
      <c r="A26" s="20">
        <v>2</v>
      </c>
      <c r="B26" s="20">
        <v>7.3193177604746005</v>
      </c>
      <c r="C26" s="20">
        <v>-1.3193177604746005</v>
      </c>
      <c r="D26" s="20">
        <v>-0.19638007394561646</v>
      </c>
    </row>
    <row r="27" spans="1:9" x14ac:dyDescent="0.2">
      <c r="A27" s="20">
        <v>3</v>
      </c>
      <c r="B27" s="20">
        <v>8.4536892843900624</v>
      </c>
      <c r="C27" s="20">
        <v>-2.4536892843900624</v>
      </c>
      <c r="D27" s="20">
        <v>-0.36523095310620879</v>
      </c>
    </row>
    <row r="28" spans="1:9" x14ac:dyDescent="0.2">
      <c r="A28" s="20">
        <v>4</v>
      </c>
      <c r="B28" s="20">
        <v>9.5880608083055243</v>
      </c>
      <c r="C28" s="20">
        <v>1.4119391916944757</v>
      </c>
      <c r="D28" s="20">
        <v>0.21016674767717056</v>
      </c>
    </row>
    <row r="29" spans="1:9" x14ac:dyDescent="0.2">
      <c r="A29" s="20">
        <v>5</v>
      </c>
      <c r="B29" s="20">
        <v>10.722432332220984</v>
      </c>
      <c r="C29" s="20">
        <v>4.2775676677790155</v>
      </c>
      <c r="D29" s="20">
        <v>0.63671473247175581</v>
      </c>
    </row>
    <row r="30" spans="1:9" x14ac:dyDescent="0.2">
      <c r="A30" s="20">
        <v>6</v>
      </c>
      <c r="B30" s="20">
        <v>11.856803856136446</v>
      </c>
      <c r="C30" s="20">
        <v>4.1431961438635536</v>
      </c>
      <c r="D30" s="20">
        <v>0.6167135692999578</v>
      </c>
    </row>
    <row r="31" spans="1:9" x14ac:dyDescent="0.2">
      <c r="A31" s="20">
        <v>7</v>
      </c>
      <c r="B31" s="20">
        <v>12.991175380051908</v>
      </c>
      <c r="C31" s="20">
        <v>9.0088246199480917</v>
      </c>
      <c r="D31" s="20">
        <v>1.3409609860721314</v>
      </c>
    </row>
    <row r="32" spans="1:9" x14ac:dyDescent="0.2">
      <c r="A32" s="20">
        <v>8</v>
      </c>
      <c r="B32" s="20">
        <v>14.12554690396737</v>
      </c>
      <c r="C32" s="20">
        <v>3.8744530960326298</v>
      </c>
      <c r="D32" s="20">
        <v>0.57671124295636189</v>
      </c>
    </row>
    <row r="33" spans="1:4" x14ac:dyDescent="0.2">
      <c r="A33" s="20">
        <v>9</v>
      </c>
      <c r="B33" s="20">
        <v>15.259918427882832</v>
      </c>
      <c r="C33" s="20">
        <v>4.7400815721171679</v>
      </c>
      <c r="D33" s="20">
        <v>0.70555979577335814</v>
      </c>
    </row>
    <row r="34" spans="1:4" x14ac:dyDescent="0.2">
      <c r="A34" s="20">
        <v>10</v>
      </c>
      <c r="B34" s="20">
        <v>16.394289951798292</v>
      </c>
      <c r="C34" s="20">
        <v>5.6057100482017077</v>
      </c>
      <c r="D34" s="20">
        <v>0.83440834859035484</v>
      </c>
    </row>
    <row r="35" spans="1:4" x14ac:dyDescent="0.2">
      <c r="A35" s="20">
        <v>11</v>
      </c>
      <c r="B35" s="20">
        <v>17.528661475713754</v>
      </c>
      <c r="C35" s="20">
        <v>-6.5286614757137542</v>
      </c>
      <c r="D35" s="20">
        <v>-0.9717894064469752</v>
      </c>
    </row>
    <row r="36" spans="1:4" x14ac:dyDescent="0.2">
      <c r="A36" s="20">
        <v>12</v>
      </c>
      <c r="B36" s="20">
        <v>18.663032999629216</v>
      </c>
      <c r="C36" s="20">
        <v>-3.6630329996292161</v>
      </c>
      <c r="D36" s="20">
        <v>-0.5452414216523902</v>
      </c>
    </row>
    <row r="37" spans="1:4" x14ac:dyDescent="0.2">
      <c r="A37" s="20">
        <v>13</v>
      </c>
      <c r="B37" s="20">
        <v>19.797404523544678</v>
      </c>
      <c r="C37" s="20">
        <v>-6.7974045235446781</v>
      </c>
      <c r="D37" s="20">
        <v>-1.0117917327905712</v>
      </c>
    </row>
    <row r="38" spans="1:4" x14ac:dyDescent="0.2">
      <c r="A38" s="20">
        <v>14</v>
      </c>
      <c r="B38" s="20">
        <v>20.93177604746014</v>
      </c>
      <c r="C38" s="20">
        <v>1.06822395253986</v>
      </c>
      <c r="D38" s="20">
        <v>0.15900483194798548</v>
      </c>
    </row>
    <row r="39" spans="1:4" x14ac:dyDescent="0.2">
      <c r="A39" s="20">
        <v>15</v>
      </c>
      <c r="B39" s="20">
        <v>22.066147571375602</v>
      </c>
      <c r="C39" s="20">
        <v>-1.0661475713756019</v>
      </c>
      <c r="D39" s="20">
        <v>-0.15869576320140119</v>
      </c>
    </row>
    <row r="40" spans="1:4" x14ac:dyDescent="0.2">
      <c r="A40" s="20">
        <v>16</v>
      </c>
      <c r="B40" s="20">
        <v>23.200519095291064</v>
      </c>
      <c r="C40" s="20">
        <v>2.7994809047089362</v>
      </c>
      <c r="D40" s="20">
        <v>0.41670193758197815</v>
      </c>
    </row>
    <row r="41" spans="1:4" x14ac:dyDescent="0.2">
      <c r="A41" s="20">
        <v>17</v>
      </c>
      <c r="B41" s="20">
        <v>24.334890619206526</v>
      </c>
      <c r="C41" s="20">
        <v>-1.3348906192065257</v>
      </c>
      <c r="D41" s="20">
        <v>-0.19869808954499715</v>
      </c>
    </row>
    <row r="42" spans="1:4" x14ac:dyDescent="0.2">
      <c r="A42" s="20">
        <v>18</v>
      </c>
      <c r="B42" s="20">
        <v>25.469262143121988</v>
      </c>
      <c r="C42" s="20">
        <v>-9.4692621431219877</v>
      </c>
      <c r="D42" s="20">
        <v>-1.4094969806271498</v>
      </c>
    </row>
    <row r="43" spans="1:4" x14ac:dyDescent="0.2">
      <c r="A43" s="20">
        <v>19</v>
      </c>
      <c r="B43" s="20">
        <v>26.60363366703745</v>
      </c>
      <c r="C43" s="20">
        <v>-11.60363366703745</v>
      </c>
      <c r="D43" s="20">
        <v>-1.7271975757765365</v>
      </c>
    </row>
    <row r="44" spans="1:4" x14ac:dyDescent="0.2">
      <c r="A44" s="20">
        <v>20</v>
      </c>
      <c r="B44" s="20">
        <v>27.738005190952912</v>
      </c>
      <c r="C44" s="20">
        <v>5.2619948090470885</v>
      </c>
      <c r="D44" s="20">
        <v>0.78324643286116924</v>
      </c>
    </row>
    <row r="45" spans="1:4" x14ac:dyDescent="0.2">
      <c r="A45" s="20">
        <v>21</v>
      </c>
      <c r="B45" s="20">
        <v>28.872376714868373</v>
      </c>
      <c r="C45" s="20">
        <v>6.1276232851316266</v>
      </c>
      <c r="D45" s="20">
        <v>0.9120949856781656</v>
      </c>
    </row>
    <row r="46" spans="1:4" x14ac:dyDescent="0.2">
      <c r="A46" s="20">
        <v>22</v>
      </c>
      <c r="B46" s="20">
        <v>30.006748238783835</v>
      </c>
      <c r="C46" s="20">
        <v>-15.006748238783835</v>
      </c>
      <c r="D46" s="20">
        <v>-2.2337502132583134</v>
      </c>
    </row>
    <row r="47" spans="1:4" x14ac:dyDescent="0.2">
      <c r="A47" s="20">
        <v>23</v>
      </c>
      <c r="B47" s="20">
        <v>31.141119762699297</v>
      </c>
      <c r="C47" s="20">
        <v>6.8588802373007027</v>
      </c>
      <c r="D47" s="20">
        <v>1.020942375323364</v>
      </c>
    </row>
    <row r="48" spans="1:4" x14ac:dyDescent="0.2">
      <c r="A48" s="20">
        <v>24</v>
      </c>
      <c r="B48" s="20">
        <v>32.275491286614759</v>
      </c>
      <c r="C48" s="20">
        <v>-17.275491286614759</v>
      </c>
      <c r="D48" s="20">
        <v>-2.5714519715794983</v>
      </c>
    </row>
    <row r="49" spans="1:4" x14ac:dyDescent="0.2">
      <c r="A49" s="20">
        <v>25</v>
      </c>
      <c r="B49" s="20">
        <v>33.409862810530221</v>
      </c>
      <c r="C49" s="20">
        <v>5.5901371894697789</v>
      </c>
      <c r="D49" s="20">
        <v>0.83209033299097357</v>
      </c>
    </row>
    <row r="50" spans="1:4" x14ac:dyDescent="0.2">
      <c r="A50" s="20">
        <v>26</v>
      </c>
      <c r="B50" s="20">
        <v>34.544234334445683</v>
      </c>
      <c r="C50" s="20">
        <v>5.455765665554317</v>
      </c>
      <c r="D50" s="20">
        <v>0.81208916981917556</v>
      </c>
    </row>
    <row r="51" spans="1:4" x14ac:dyDescent="0.2">
      <c r="A51" s="20">
        <v>27</v>
      </c>
      <c r="B51" s="20">
        <v>35.678605858361145</v>
      </c>
      <c r="C51" s="20">
        <v>2.321394141638855</v>
      </c>
      <c r="D51" s="20">
        <v>0.3455388586809946</v>
      </c>
    </row>
    <row r="52" spans="1:4" x14ac:dyDescent="0.2">
      <c r="A52" s="20">
        <v>28</v>
      </c>
      <c r="B52" s="20">
        <v>36.812977382276607</v>
      </c>
      <c r="C52" s="20">
        <v>5.1870226177233931</v>
      </c>
      <c r="D52" s="20">
        <v>0.77208684347557965</v>
      </c>
    </row>
    <row r="53" spans="1:4" x14ac:dyDescent="0.2">
      <c r="A53" s="20">
        <v>29</v>
      </c>
      <c r="B53" s="20">
        <v>37.947348906192069</v>
      </c>
      <c r="C53" s="20">
        <v>2.0526510938079312</v>
      </c>
      <c r="D53" s="20">
        <v>0.30553653233739858</v>
      </c>
    </row>
    <row r="54" spans="1:4" ht="17" thickBot="1" x14ac:dyDescent="0.25">
      <c r="A54" s="21">
        <v>30</v>
      </c>
      <c r="B54" s="21">
        <v>39.081720430107531</v>
      </c>
      <c r="C54" s="21">
        <v>4.9182795698924693</v>
      </c>
      <c r="D54" s="21">
        <v>0.73208451713198364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9F214-DF93-B446-B48C-A1D89BC475DD}">
  <dimension ref="A1:I55"/>
  <sheetViews>
    <sheetView topLeftCell="A8" workbookViewId="0">
      <selection activeCell="B25" sqref="B25:B55"/>
    </sheetView>
  </sheetViews>
  <sheetFormatPr baseColWidth="10" defaultRowHeight="16" x14ac:dyDescent="0.2"/>
  <sheetData>
    <row r="1" spans="1:9" x14ac:dyDescent="0.2">
      <c r="A1" t="s">
        <v>38</v>
      </c>
    </row>
    <row r="3" spans="1:9" x14ac:dyDescent="0.2">
      <c r="A3" t="s">
        <v>39</v>
      </c>
    </row>
    <row r="4" spans="1:9" x14ac:dyDescent="0.2">
      <c r="A4" t="s">
        <v>40</v>
      </c>
      <c r="B4">
        <v>0.83789599066685716</v>
      </c>
    </row>
    <row r="5" spans="1:9" x14ac:dyDescent="0.2">
      <c r="A5" t="s">
        <v>41</v>
      </c>
      <c r="B5">
        <v>0.70206969117559404</v>
      </c>
    </row>
    <row r="6" spans="1:9" x14ac:dyDescent="0.2">
      <c r="A6" t="s">
        <v>42</v>
      </c>
      <c r="B6">
        <v>0.68000077941082326</v>
      </c>
    </row>
    <row r="7" spans="1:9" x14ac:dyDescent="0.2">
      <c r="A7" t="s">
        <v>43</v>
      </c>
      <c r="B7">
        <v>6.8084786367223771</v>
      </c>
    </row>
    <row r="8" spans="1:9" x14ac:dyDescent="0.2">
      <c r="A8" t="s">
        <v>44</v>
      </c>
      <c r="B8">
        <v>30</v>
      </c>
    </row>
    <row r="10" spans="1:9" x14ac:dyDescent="0.2">
      <c r="A10" t="s">
        <v>45</v>
      </c>
    </row>
    <row r="11" spans="1:9" x14ac:dyDescent="0.2">
      <c r="B11" t="s">
        <v>50</v>
      </c>
      <c r="C11" t="s">
        <v>51</v>
      </c>
      <c r="D11" t="s">
        <v>52</v>
      </c>
      <c r="E11" t="s">
        <v>53</v>
      </c>
      <c r="F11" t="s">
        <v>54</v>
      </c>
    </row>
    <row r="12" spans="1:9" x14ac:dyDescent="0.2">
      <c r="A12" t="s">
        <v>46</v>
      </c>
      <c r="B12">
        <v>2</v>
      </c>
      <c r="C12">
        <v>2949.3713703056319</v>
      </c>
      <c r="D12">
        <v>1474.6856851528159</v>
      </c>
      <c r="E12">
        <v>31.812610366059225</v>
      </c>
      <c r="F12">
        <v>7.9533166131749048E-8</v>
      </c>
    </row>
    <row r="13" spans="1:9" x14ac:dyDescent="0.2">
      <c r="A13" t="s">
        <v>47</v>
      </c>
      <c r="B13">
        <v>27</v>
      </c>
      <c r="C13">
        <v>1251.595296361035</v>
      </c>
      <c r="D13">
        <v>46.355381346705002</v>
      </c>
    </row>
    <row r="14" spans="1:9" x14ac:dyDescent="0.2">
      <c r="A14" t="s">
        <v>48</v>
      </c>
      <c r="B14">
        <v>29</v>
      </c>
      <c r="C14">
        <v>4200.9666666666672</v>
      </c>
    </row>
    <row r="16" spans="1:9" x14ac:dyDescent="0.2">
      <c r="B16" t="s">
        <v>55</v>
      </c>
      <c r="C16" t="s">
        <v>43</v>
      </c>
      <c r="D16" t="s">
        <v>56</v>
      </c>
      <c r="E16" t="s">
        <v>57</v>
      </c>
      <c r="F16" t="s">
        <v>58</v>
      </c>
      <c r="G16" t="s">
        <v>59</v>
      </c>
      <c r="H16" t="s">
        <v>60</v>
      </c>
      <c r="I16" t="s">
        <v>61</v>
      </c>
    </row>
    <row r="17" spans="1:9" x14ac:dyDescent="0.2">
      <c r="A17" t="s">
        <v>49</v>
      </c>
      <c r="B17">
        <v>8.4660098522167608</v>
      </c>
      <c r="C17">
        <v>3.9923606965095919</v>
      </c>
      <c r="D17">
        <v>2.1205523487941242</v>
      </c>
      <c r="E17">
        <v>4.329193376447843E-2</v>
      </c>
      <c r="F17">
        <v>0.27436234232189083</v>
      </c>
      <c r="G17">
        <v>16.657657362111632</v>
      </c>
      <c r="H17">
        <v>0.27436234232189083</v>
      </c>
      <c r="I17">
        <v>16.657657362111632</v>
      </c>
    </row>
    <row r="18" spans="1:9" x14ac:dyDescent="0.2">
      <c r="A18" t="s">
        <v>36</v>
      </c>
      <c r="B18">
        <v>2.0657873828062983E-2</v>
      </c>
      <c r="C18">
        <v>1.8581974235982613E-2</v>
      </c>
      <c r="D18">
        <v>1.1117157717321846</v>
      </c>
      <c r="E18">
        <v>0.27606190028055894</v>
      </c>
      <c r="F18">
        <v>-1.7469187965776588E-2</v>
      </c>
      <c r="G18">
        <v>5.8784935621902554E-2</v>
      </c>
      <c r="H18">
        <v>-1.7469187965776588E-2</v>
      </c>
      <c r="I18">
        <v>5.8784935621902554E-2</v>
      </c>
    </row>
    <row r="19" spans="1:9" x14ac:dyDescent="0.2">
      <c r="A19" t="s">
        <v>35</v>
      </c>
      <c r="B19">
        <v>0.49397743524550891</v>
      </c>
      <c r="C19">
        <v>0.59367396299003572</v>
      </c>
      <c r="D19">
        <v>0.83206855284269876</v>
      </c>
      <c r="E19">
        <v>0.41266939961600191</v>
      </c>
      <c r="F19">
        <v>-0.72414091885723419</v>
      </c>
      <c r="G19">
        <v>1.712095789348252</v>
      </c>
      <c r="H19">
        <v>-0.72414091885723419</v>
      </c>
      <c r="I19">
        <v>1.712095789348252</v>
      </c>
    </row>
    <row r="23" spans="1:9" x14ac:dyDescent="0.2">
      <c r="A23" t="s">
        <v>62</v>
      </c>
    </row>
    <row r="25" spans="1:9" x14ac:dyDescent="0.2">
      <c r="A25" t="s">
        <v>63</v>
      </c>
      <c r="B25" t="s">
        <v>64</v>
      </c>
      <c r="C25" t="s">
        <v>65</v>
      </c>
      <c r="D25" t="s">
        <v>66</v>
      </c>
    </row>
    <row r="26" spans="1:9" x14ac:dyDescent="0.2">
      <c r="A26">
        <v>1</v>
      </c>
      <c r="B26">
        <v>8.9806451612903313</v>
      </c>
      <c r="C26">
        <v>-6.9806451612903313</v>
      </c>
      <c r="D26">
        <v>-1.0625823563134655</v>
      </c>
    </row>
    <row r="27" spans="1:9" x14ac:dyDescent="0.2">
      <c r="A27">
        <v>2</v>
      </c>
      <c r="B27">
        <v>9.5365962180200317</v>
      </c>
      <c r="C27">
        <v>-3.5365962180200317</v>
      </c>
      <c r="D27">
        <v>-0.53833487533670676</v>
      </c>
    </row>
    <row r="28" spans="1:9" x14ac:dyDescent="0.2">
      <c r="A28">
        <v>3</v>
      </c>
      <c r="B28">
        <v>10.133863022405855</v>
      </c>
      <c r="C28">
        <v>-4.1338630224058548</v>
      </c>
      <c r="D28">
        <v>-0.62924984862189681</v>
      </c>
    </row>
    <row r="29" spans="1:9" x14ac:dyDescent="0.2">
      <c r="A29">
        <v>4</v>
      </c>
      <c r="B29">
        <v>10.772445574447804</v>
      </c>
      <c r="C29">
        <v>0.22755442555219574</v>
      </c>
      <c r="D29">
        <v>3.4637961407010517E-2</v>
      </c>
    </row>
    <row r="30" spans="1:9" x14ac:dyDescent="0.2">
      <c r="A30">
        <v>5</v>
      </c>
      <c r="B30">
        <v>11.45234387414588</v>
      </c>
      <c r="C30">
        <v>3.5476561258541199</v>
      </c>
      <c r="D30">
        <v>0.54001839636598414</v>
      </c>
    </row>
    <row r="31" spans="1:9" x14ac:dyDescent="0.2">
      <c r="A31">
        <v>6</v>
      </c>
      <c r="B31">
        <v>12.17355792150008</v>
      </c>
      <c r="C31">
        <v>3.8264420784999196</v>
      </c>
      <c r="D31">
        <v>0.58245473679368054</v>
      </c>
    </row>
    <row r="32" spans="1:9" x14ac:dyDescent="0.2">
      <c r="A32">
        <v>7</v>
      </c>
      <c r="B32">
        <v>12.936087716510409</v>
      </c>
      <c r="C32">
        <v>9.0639122834895911</v>
      </c>
      <c r="D32">
        <v>1.379693860535474</v>
      </c>
    </row>
    <row r="33" spans="1:4" x14ac:dyDescent="0.2">
      <c r="A33">
        <v>8</v>
      </c>
      <c r="B33">
        <v>13.739933259176862</v>
      </c>
      <c r="C33">
        <v>4.2600667408231381</v>
      </c>
      <c r="D33">
        <v>0.64846037163128734</v>
      </c>
    </row>
    <row r="34" spans="1:4" x14ac:dyDescent="0.2">
      <c r="A34">
        <v>9</v>
      </c>
      <c r="B34">
        <v>14.585094549499443</v>
      </c>
      <c r="C34">
        <v>5.4149054505005569</v>
      </c>
      <c r="D34">
        <v>0.82424802577186962</v>
      </c>
    </row>
    <row r="35" spans="1:4" x14ac:dyDescent="0.2">
      <c r="A35">
        <v>10</v>
      </c>
      <c r="B35">
        <v>15.471571587478149</v>
      </c>
      <c r="C35">
        <v>6.5284284125218512</v>
      </c>
      <c r="D35">
        <v>0.99374666457319016</v>
      </c>
    </row>
    <row r="36" spans="1:4" x14ac:dyDescent="0.2">
      <c r="A36">
        <v>11</v>
      </c>
      <c r="B36">
        <v>16.399364373112981</v>
      </c>
      <c r="C36">
        <v>-5.3993643731129808</v>
      </c>
      <c r="D36">
        <v>-0.82188238846348527</v>
      </c>
    </row>
    <row r="37" spans="1:4" x14ac:dyDescent="0.2">
      <c r="A37">
        <v>12</v>
      </c>
      <c r="B37">
        <v>17.368472906403937</v>
      </c>
      <c r="C37">
        <v>-2.3684729064039374</v>
      </c>
      <c r="D37">
        <v>-0.36052506087934444</v>
      </c>
    </row>
    <row r="38" spans="1:4" x14ac:dyDescent="0.2">
      <c r="A38">
        <v>13</v>
      </c>
      <c r="B38">
        <v>18.378897187351022</v>
      </c>
      <c r="C38">
        <v>-5.3788971873510221</v>
      </c>
      <c r="D38">
        <v>-0.81876690701849697</v>
      </c>
    </row>
    <row r="39" spans="1:4" x14ac:dyDescent="0.2">
      <c r="A39">
        <v>14</v>
      </c>
      <c r="B39">
        <v>19.430637215954231</v>
      </c>
      <c r="C39">
        <v>2.5693627840457687</v>
      </c>
      <c r="D39">
        <v>0.3911041885404794</v>
      </c>
    </row>
    <row r="40" spans="1:4" x14ac:dyDescent="0.2">
      <c r="A40">
        <v>15</v>
      </c>
      <c r="B40">
        <v>20.523692992213565</v>
      </c>
      <c r="C40">
        <v>0.47630700778643487</v>
      </c>
      <c r="D40">
        <v>7.250267145347547E-2</v>
      </c>
    </row>
    <row r="41" spans="1:4" x14ac:dyDescent="0.2">
      <c r="A41">
        <v>16</v>
      </c>
      <c r="B41">
        <v>21.658064516129027</v>
      </c>
      <c r="C41">
        <v>4.3419354838709729</v>
      </c>
      <c r="D41">
        <v>0.66092229741124053</v>
      </c>
    </row>
    <row r="42" spans="1:4" x14ac:dyDescent="0.2">
      <c r="A42">
        <v>17</v>
      </c>
      <c r="B42">
        <v>22.833751787700614</v>
      </c>
      <c r="C42">
        <v>0.16624821229938647</v>
      </c>
      <c r="D42">
        <v>2.5306030184369117E-2</v>
      </c>
    </row>
    <row r="43" spans="1:4" x14ac:dyDescent="0.2">
      <c r="A43">
        <v>18</v>
      </c>
      <c r="B43">
        <v>24.050754806928328</v>
      </c>
      <c r="C43">
        <v>-8.0507548069283281</v>
      </c>
      <c r="D43">
        <v>-1.225472691304452</v>
      </c>
    </row>
    <row r="44" spans="1:4" x14ac:dyDescent="0.2">
      <c r="A44">
        <v>19</v>
      </c>
      <c r="B44">
        <v>25.309073573812167</v>
      </c>
      <c r="C44">
        <v>-10.309073573812167</v>
      </c>
      <c r="D44">
        <v>-1.5692302697485034</v>
      </c>
    </row>
    <row r="45" spans="1:4" x14ac:dyDescent="0.2">
      <c r="A45">
        <v>20</v>
      </c>
      <c r="B45">
        <v>26.608708088352131</v>
      </c>
      <c r="C45">
        <v>6.391291911647869</v>
      </c>
      <c r="D45">
        <v>0.97287197135094883</v>
      </c>
    </row>
    <row r="46" spans="1:4" x14ac:dyDescent="0.2">
      <c r="A46">
        <v>21</v>
      </c>
      <c r="B46">
        <v>27.949658350548223</v>
      </c>
      <c r="C46">
        <v>7.0503416494517772</v>
      </c>
      <c r="D46">
        <v>1.0731914414203891</v>
      </c>
    </row>
    <row r="47" spans="1:4" x14ac:dyDescent="0.2">
      <c r="A47">
        <v>22</v>
      </c>
      <c r="B47">
        <v>29.331924360400439</v>
      </c>
      <c r="C47">
        <v>-14.331924360400439</v>
      </c>
      <c r="D47">
        <v>-2.1815820179242134</v>
      </c>
    </row>
    <row r="48" spans="1:4" x14ac:dyDescent="0.2">
      <c r="A48">
        <v>23</v>
      </c>
      <c r="B48">
        <v>30.755506117908784</v>
      </c>
      <c r="C48">
        <v>7.2444938820912164</v>
      </c>
      <c r="D48">
        <v>1.1027449758108123</v>
      </c>
    </row>
    <row r="49" spans="1:4" x14ac:dyDescent="0.2">
      <c r="A49">
        <v>24</v>
      </c>
      <c r="B49">
        <v>32.220403623073253</v>
      </c>
      <c r="C49">
        <v>-17.220403623073253</v>
      </c>
      <c r="D49">
        <v>-2.6212615934043293</v>
      </c>
    </row>
    <row r="50" spans="1:4" x14ac:dyDescent="0.2">
      <c r="A50">
        <v>25</v>
      </c>
      <c r="B50">
        <v>33.726616875893846</v>
      </c>
      <c r="C50">
        <v>5.2733831241061537</v>
      </c>
      <c r="D50">
        <v>0.80270572938284479</v>
      </c>
    </row>
    <row r="51" spans="1:4" x14ac:dyDescent="0.2">
      <c r="A51">
        <v>26</v>
      </c>
      <c r="B51">
        <v>35.274145876370568</v>
      </c>
      <c r="C51">
        <v>4.725854123629432</v>
      </c>
      <c r="D51">
        <v>0.71936176302530386</v>
      </c>
    </row>
    <row r="52" spans="1:4" x14ac:dyDescent="0.2">
      <c r="A52">
        <v>27</v>
      </c>
      <c r="B52">
        <v>36.862990624503418</v>
      </c>
      <c r="C52">
        <v>1.1370093754965822</v>
      </c>
      <c r="D52">
        <v>0.17307370213648532</v>
      </c>
    </row>
    <row r="53" spans="1:4" x14ac:dyDescent="0.2">
      <c r="A53">
        <v>28</v>
      </c>
      <c r="B53">
        <v>38.493151120292389</v>
      </c>
      <c r="C53">
        <v>3.5068488797076114</v>
      </c>
      <c r="D53">
        <v>0.53380678429243678</v>
      </c>
    </row>
    <row r="54" spans="1:4" x14ac:dyDescent="0.2">
      <c r="A54">
        <v>29</v>
      </c>
      <c r="B54">
        <v>40.164627363737488</v>
      </c>
      <c r="C54">
        <v>-0.16462736373748754</v>
      </c>
      <c r="D54">
        <v>-2.5059307274905043E-2</v>
      </c>
    </row>
    <row r="55" spans="1:4" x14ac:dyDescent="0.2">
      <c r="A55">
        <v>30</v>
      </c>
      <c r="B55">
        <v>41.877419354838715</v>
      </c>
      <c r="C55">
        <v>2.1225806451612854</v>
      </c>
      <c r="D55">
        <v>0.32309574420252213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AE9F8-F1E5-7248-9955-93E9DD985FD0}">
  <dimension ref="A1:M54"/>
  <sheetViews>
    <sheetView workbookViewId="0">
      <selection activeCell="D5" sqref="D5"/>
    </sheetView>
  </sheetViews>
  <sheetFormatPr baseColWidth="10" defaultRowHeight="16" x14ac:dyDescent="0.2"/>
  <sheetData>
    <row r="1" spans="1:9" x14ac:dyDescent="0.2">
      <c r="A1" t="s">
        <v>38</v>
      </c>
    </row>
    <row r="2" spans="1:9" ht="17" thickBot="1" x14ac:dyDescent="0.25"/>
    <row r="3" spans="1:9" x14ac:dyDescent="0.2">
      <c r="A3" s="23" t="s">
        <v>39</v>
      </c>
      <c r="B3" s="23"/>
    </row>
    <row r="4" spans="1:9" x14ac:dyDescent="0.2">
      <c r="A4" s="20" t="s">
        <v>40</v>
      </c>
      <c r="B4" s="20">
        <v>0.77988918598368373</v>
      </c>
    </row>
    <row r="5" spans="1:9" x14ac:dyDescent="0.2">
      <c r="A5" s="20" t="s">
        <v>41</v>
      </c>
      <c r="B5" s="20">
        <v>0.60822714241429288</v>
      </c>
    </row>
    <row r="6" spans="1:9" x14ac:dyDescent="0.2">
      <c r="A6" s="20" t="s">
        <v>42</v>
      </c>
      <c r="B6" s="20">
        <v>0.59423525464337479</v>
      </c>
    </row>
    <row r="7" spans="1:9" x14ac:dyDescent="0.2">
      <c r="A7" s="20" t="s">
        <v>43</v>
      </c>
      <c r="B7" s="20">
        <v>0.18957967097212872</v>
      </c>
    </row>
    <row r="8" spans="1:9" ht="17" thickBot="1" x14ac:dyDescent="0.25">
      <c r="A8" s="21" t="s">
        <v>44</v>
      </c>
      <c r="B8" s="21">
        <v>30</v>
      </c>
    </row>
    <row r="10" spans="1:9" ht="17" thickBot="1" x14ac:dyDescent="0.25">
      <c r="A10" t="s">
        <v>45</v>
      </c>
    </row>
    <row r="11" spans="1:9" x14ac:dyDescent="0.2">
      <c r="A11" s="22"/>
      <c r="B11" s="22" t="s">
        <v>50</v>
      </c>
      <c r="C11" s="22" t="s">
        <v>51</v>
      </c>
      <c r="D11" s="22" t="s">
        <v>52</v>
      </c>
      <c r="E11" s="22" t="s">
        <v>53</v>
      </c>
      <c r="F11" s="22" t="s">
        <v>54</v>
      </c>
    </row>
    <row r="12" spans="1:9" x14ac:dyDescent="0.2">
      <c r="A12" s="20" t="s">
        <v>46</v>
      </c>
      <c r="B12" s="20">
        <v>1</v>
      </c>
      <c r="C12" s="20">
        <v>1.562330870542052</v>
      </c>
      <c r="D12" s="20">
        <v>1.562330870542052</v>
      </c>
      <c r="E12" s="20">
        <v>43.469984348965561</v>
      </c>
      <c r="F12" s="20">
        <v>3.7673200920421853E-7</v>
      </c>
    </row>
    <row r="13" spans="1:9" x14ac:dyDescent="0.2">
      <c r="A13" s="20" t="s">
        <v>47</v>
      </c>
      <c r="B13" s="20">
        <v>28</v>
      </c>
      <c r="C13" s="20">
        <v>1.0063326460852164</v>
      </c>
      <c r="D13" s="20">
        <v>3.5940451645900588E-2</v>
      </c>
      <c r="E13" s="20"/>
      <c r="F13" s="20"/>
    </row>
    <row r="14" spans="1:9" ht="17" thickBot="1" x14ac:dyDescent="0.25">
      <c r="A14" s="21" t="s">
        <v>48</v>
      </c>
      <c r="B14" s="21">
        <v>29</v>
      </c>
      <c r="C14" s="21">
        <v>2.5686635166272684</v>
      </c>
      <c r="D14" s="21"/>
      <c r="E14" s="21"/>
      <c r="F14" s="21"/>
    </row>
    <row r="15" spans="1:9" ht="17" thickBot="1" x14ac:dyDescent="0.25"/>
    <row r="16" spans="1:9" x14ac:dyDescent="0.2">
      <c r="A16" s="22"/>
      <c r="B16" s="22" t="s">
        <v>55</v>
      </c>
      <c r="C16" s="22" t="s">
        <v>43</v>
      </c>
      <c r="D16" s="22" t="s">
        <v>56</v>
      </c>
      <c r="E16" s="22" t="s">
        <v>57</v>
      </c>
      <c r="F16" s="22" t="s">
        <v>58</v>
      </c>
      <c r="G16" s="22" t="s">
        <v>59</v>
      </c>
      <c r="H16" s="22" t="s">
        <v>60</v>
      </c>
      <c r="I16" s="22" t="s">
        <v>61</v>
      </c>
    </row>
    <row r="17" spans="1:13" x14ac:dyDescent="0.2">
      <c r="A17" s="20" t="s">
        <v>49</v>
      </c>
      <c r="B17" s="20">
        <v>0.86831028414412326</v>
      </c>
      <c r="C17" s="20">
        <v>7.0992432013688919E-2</v>
      </c>
      <c r="D17" s="20">
        <v>12.231026033545291</v>
      </c>
      <c r="E17" s="20">
        <v>9.4874270174863194E-13</v>
      </c>
      <c r="F17" s="20">
        <v>0.72288887939386948</v>
      </c>
      <c r="G17" s="20">
        <v>1.013731688894377</v>
      </c>
      <c r="H17" s="20">
        <v>0.72288887939386948</v>
      </c>
      <c r="I17" s="20">
        <v>1.013731688894377</v>
      </c>
      <c r="L17" t="s">
        <v>70</v>
      </c>
      <c r="M17">
        <f>10^B17</f>
        <v>7.3843161834698705</v>
      </c>
    </row>
    <row r="18" spans="1:13" ht="17" thickBot="1" x14ac:dyDescent="0.25">
      <c r="A18" s="21" t="s">
        <v>35</v>
      </c>
      <c r="B18" s="21">
        <v>2.6365539164098159E-2</v>
      </c>
      <c r="C18" s="21">
        <v>3.9989126244988444E-3</v>
      </c>
      <c r="D18" s="21">
        <v>6.593177105839457</v>
      </c>
      <c r="E18" s="21">
        <v>3.7673200920421853E-7</v>
      </c>
      <c r="F18" s="21">
        <v>1.8174137984659562E-2</v>
      </c>
      <c r="G18" s="21">
        <v>3.4556940343536756E-2</v>
      </c>
      <c r="H18" s="21">
        <v>1.8174137984659562E-2</v>
      </c>
      <c r="I18" s="21">
        <v>3.4556940343536756E-2</v>
      </c>
      <c r="L18" t="s">
        <v>71</v>
      </c>
      <c r="M18">
        <f>10^B18</f>
        <v>1.0625895466317878</v>
      </c>
    </row>
    <row r="22" spans="1:13" x14ac:dyDescent="0.2">
      <c r="A22" t="s">
        <v>62</v>
      </c>
    </row>
    <row r="23" spans="1:13" ht="17" thickBot="1" x14ac:dyDescent="0.25">
      <c r="I23" t="s">
        <v>72</v>
      </c>
    </row>
    <row r="24" spans="1:13" x14ac:dyDescent="0.2">
      <c r="A24" s="22" t="s">
        <v>63</v>
      </c>
      <c r="B24" s="22" t="s">
        <v>69</v>
      </c>
      <c r="C24" s="22" t="s">
        <v>65</v>
      </c>
      <c r="D24" s="22" t="s">
        <v>66</v>
      </c>
      <c r="H24" s="20">
        <v>0.89467582330822137</v>
      </c>
      <c r="I24">
        <f>10^H24</f>
        <v>7.8464971855790209</v>
      </c>
    </row>
    <row r="25" spans="1:13" x14ac:dyDescent="0.2">
      <c r="A25" s="20">
        <v>1</v>
      </c>
      <c r="B25" s="20">
        <v>0.89467582330822137</v>
      </c>
      <c r="C25" s="20">
        <v>-0.59364582764424023</v>
      </c>
      <c r="D25" s="20">
        <v>-3.1868060858320768</v>
      </c>
      <c r="H25" s="20">
        <v>0.9210413624723196</v>
      </c>
      <c r="I25">
        <f t="shared" ref="I25:I53" si="0">10^H25</f>
        <v>8.3376058870720122</v>
      </c>
    </row>
    <row r="26" spans="1:13" x14ac:dyDescent="0.2">
      <c r="A26" s="20">
        <v>2</v>
      </c>
      <c r="B26" s="20">
        <v>0.9210413624723196</v>
      </c>
      <c r="C26" s="20">
        <v>-0.14289011208867597</v>
      </c>
      <c r="D26" s="20">
        <v>-0.76706187023403105</v>
      </c>
      <c r="H26" s="20">
        <v>0.94740690163641772</v>
      </c>
      <c r="I26">
        <f t="shared" si="0"/>
        <v>8.8594528595383739</v>
      </c>
    </row>
    <row r="27" spans="1:13" x14ac:dyDescent="0.2">
      <c r="A27" s="20">
        <v>3</v>
      </c>
      <c r="B27" s="20">
        <v>0.94740690163641772</v>
      </c>
      <c r="C27" s="20">
        <v>-0.16925565125277409</v>
      </c>
      <c r="D27" s="20">
        <v>-0.90859720452217907</v>
      </c>
      <c r="H27" s="20">
        <v>0.97377244080051595</v>
      </c>
      <c r="I27">
        <f t="shared" si="0"/>
        <v>9.4139619974225788</v>
      </c>
    </row>
    <row r="28" spans="1:13" x14ac:dyDescent="0.2">
      <c r="A28" s="20">
        <v>4</v>
      </c>
      <c r="B28" s="20">
        <v>0.97377244080051595</v>
      </c>
      <c r="C28" s="20">
        <v>6.7620244357709192E-2</v>
      </c>
      <c r="D28" s="20">
        <v>0.36299860322397498</v>
      </c>
      <c r="H28" s="20">
        <v>1.000137979964614</v>
      </c>
      <c r="I28">
        <f t="shared" si="0"/>
        <v>10.003177610850132</v>
      </c>
    </row>
    <row r="29" spans="1:13" x14ac:dyDescent="0.2">
      <c r="A29" s="20">
        <v>5</v>
      </c>
      <c r="B29" s="20">
        <v>1.000137979964614</v>
      </c>
      <c r="C29" s="20">
        <v>0.17595327909106739</v>
      </c>
      <c r="D29" s="20">
        <v>0.94455137140382095</v>
      </c>
      <c r="H29" s="20">
        <v>1.0265035191287122</v>
      </c>
      <c r="I29">
        <f t="shared" si="0"/>
        <v>10.629271962390495</v>
      </c>
    </row>
    <row r="30" spans="1:13" x14ac:dyDescent="0.2">
      <c r="A30" s="20">
        <v>6</v>
      </c>
      <c r="B30" s="20">
        <v>1.0265035191287122</v>
      </c>
      <c r="C30" s="20">
        <v>0.17761646352721261</v>
      </c>
      <c r="D30" s="20">
        <v>0.95347966843911169</v>
      </c>
      <c r="H30" s="20">
        <v>1.0528690582928104</v>
      </c>
      <c r="I30">
        <f t="shared" si="0"/>
        <v>11.294553275542489</v>
      </c>
    </row>
    <row r="31" spans="1:13" x14ac:dyDescent="0.2">
      <c r="A31" s="20">
        <v>7</v>
      </c>
      <c r="B31" s="20">
        <v>1.0528690582928104</v>
      </c>
      <c r="C31" s="20">
        <v>0.28955362252939576</v>
      </c>
      <c r="D31" s="20">
        <v>1.5543800755968391</v>
      </c>
      <c r="H31" s="20">
        <v>1.0792345974569084</v>
      </c>
      <c r="I31">
        <f t="shared" si="0"/>
        <v>12.001474244467266</v>
      </c>
    </row>
    <row r="32" spans="1:13" x14ac:dyDescent="0.2">
      <c r="A32" s="20">
        <v>8</v>
      </c>
      <c r="B32" s="20">
        <v>1.0792345974569084</v>
      </c>
      <c r="C32" s="20">
        <v>0.1760379076463976</v>
      </c>
      <c r="D32" s="20">
        <v>0.94500567392327384</v>
      </c>
      <c r="H32" s="20">
        <v>1.1056001366210066</v>
      </c>
      <c r="I32">
        <f t="shared" si="0"/>
        <v>12.752641076341547</v>
      </c>
    </row>
    <row r="33" spans="1:9" x14ac:dyDescent="0.2">
      <c r="A33" s="20">
        <v>9</v>
      </c>
      <c r="B33" s="20">
        <v>1.1056001366210066</v>
      </c>
      <c r="C33" s="20">
        <v>0.19542985904297461</v>
      </c>
      <c r="D33" s="20">
        <v>1.0491054348396531</v>
      </c>
      <c r="H33" s="20">
        <v>1.1319656757851049</v>
      </c>
      <c r="I33">
        <f t="shared" si="0"/>
        <v>13.550823099667683</v>
      </c>
    </row>
    <row r="34" spans="1:9" x14ac:dyDescent="0.2">
      <c r="A34" s="20">
        <v>10</v>
      </c>
      <c r="B34" s="20">
        <v>1.1319656757851049</v>
      </c>
      <c r="C34" s="20">
        <v>0.2104570050371013</v>
      </c>
      <c r="D34" s="20">
        <v>1.1297740727323946</v>
      </c>
      <c r="H34" s="20">
        <v>1.1583312149492031</v>
      </c>
      <c r="I34">
        <f t="shared" si="0"/>
        <v>14.398962973963446</v>
      </c>
    </row>
    <row r="35" spans="1:9" x14ac:dyDescent="0.2">
      <c r="A35" s="20">
        <v>11</v>
      </c>
      <c r="B35" s="20">
        <v>1.1583312149492031</v>
      </c>
      <c r="C35" s="20">
        <v>-0.11693852979097796</v>
      </c>
      <c r="D35" s="20">
        <v>-0.62774873679306298</v>
      </c>
      <c r="H35" s="20">
        <v>1.1846967541133011</v>
      </c>
      <c r="I35">
        <f t="shared" si="0"/>
        <v>15.300187538471707</v>
      </c>
    </row>
    <row r="36" spans="1:9" x14ac:dyDescent="0.2">
      <c r="A36" s="20">
        <v>12</v>
      </c>
      <c r="B36" s="20">
        <v>1.1846967541133011</v>
      </c>
      <c r="C36" s="20">
        <v>-8.6054950576197609E-3</v>
      </c>
      <c r="D36" s="20">
        <v>-4.6195968613216933E-2</v>
      </c>
      <c r="H36" s="20">
        <v>1.2110622932773993</v>
      </c>
      <c r="I36">
        <f t="shared" si="0"/>
        <v>16.257819339885987</v>
      </c>
    </row>
    <row r="37" spans="1:9" x14ac:dyDescent="0.2">
      <c r="A37" s="20">
        <v>13</v>
      </c>
      <c r="B37" s="20">
        <v>1.2110622932773993</v>
      </c>
      <c r="C37" s="20">
        <v>-9.7118940970562617E-2</v>
      </c>
      <c r="D37" s="20">
        <v>-0.52135333514047988</v>
      </c>
      <c r="H37" s="20">
        <v>1.2374278324414976</v>
      </c>
      <c r="I37">
        <f t="shared" si="0"/>
        <v>17.27538888159096</v>
      </c>
    </row>
    <row r="38" spans="1:9" x14ac:dyDescent="0.2">
      <c r="A38" s="20">
        <v>14</v>
      </c>
      <c r="B38" s="20">
        <v>1.2374278324414976</v>
      </c>
      <c r="C38" s="20">
        <v>0.10499484838070861</v>
      </c>
      <c r="D38" s="20">
        <v>0.56363273557980131</v>
      </c>
      <c r="H38" s="20">
        <v>1.2637933716055956</v>
      </c>
      <c r="I38">
        <f t="shared" si="0"/>
        <v>18.356647639577563</v>
      </c>
    </row>
    <row r="39" spans="1:9" x14ac:dyDescent="0.2">
      <c r="A39" s="20">
        <v>15</v>
      </c>
      <c r="B39" s="20">
        <v>1.2637933716055956</v>
      </c>
      <c r="C39" s="20">
        <v>5.8425923128323731E-2</v>
      </c>
      <c r="D39" s="20">
        <v>0.31364170137363495</v>
      </c>
      <c r="H39" s="20">
        <v>1.2901589107696938</v>
      </c>
      <c r="I39">
        <f t="shared" si="0"/>
        <v>19.505581893018196</v>
      </c>
    </row>
    <row r="40" spans="1:9" x14ac:dyDescent="0.2">
      <c r="A40" s="20">
        <v>16</v>
      </c>
      <c r="B40" s="20">
        <v>1.2901589107696938</v>
      </c>
      <c r="C40" s="20">
        <v>0.12481443720112417</v>
      </c>
      <c r="D40" s="20">
        <v>0.67002813723238552</v>
      </c>
      <c r="H40" s="20">
        <v>1.316524449933792</v>
      </c>
      <c r="I40">
        <f t="shared" si="0"/>
        <v>20.726427420491422</v>
      </c>
    </row>
    <row r="41" spans="1:9" x14ac:dyDescent="0.2">
      <c r="A41" s="20">
        <v>17</v>
      </c>
      <c r="B41" s="20">
        <v>1.316524449933792</v>
      </c>
      <c r="C41" s="20">
        <v>4.5203386083800812E-2</v>
      </c>
      <c r="D41" s="20">
        <v>0.24266055476835979</v>
      </c>
      <c r="H41" s="20">
        <v>1.34288998909789</v>
      </c>
      <c r="I41">
        <f t="shared" si="0"/>
        <v>22.023685116036621</v>
      </c>
    </row>
    <row r="42" spans="1:9" x14ac:dyDescent="0.2">
      <c r="A42" s="20">
        <v>18</v>
      </c>
      <c r="B42" s="20">
        <v>1.34288998909789</v>
      </c>
      <c r="C42" s="20">
        <v>-0.13877000644196524</v>
      </c>
      <c r="D42" s="20">
        <v>-0.74494434301866697</v>
      </c>
      <c r="H42" s="20">
        <v>1.3692555282619883</v>
      </c>
      <c r="I42">
        <f t="shared" si="0"/>
        <v>23.402137582610614</v>
      </c>
    </row>
    <row r="43" spans="1:9" x14ac:dyDescent="0.2">
      <c r="A43" s="20">
        <v>19</v>
      </c>
      <c r="B43" s="20">
        <v>1.3692555282619883</v>
      </c>
      <c r="C43" s="20">
        <v>-0.19316426920630692</v>
      </c>
      <c r="D43" s="20">
        <v>-1.0369433086302549</v>
      </c>
      <c r="H43" s="20">
        <v>1.3956210674260865</v>
      </c>
      <c r="I43">
        <f t="shared" si="0"/>
        <v>24.866866764120942</v>
      </c>
    </row>
    <row r="44" spans="1:9" x14ac:dyDescent="0.2">
      <c r="A44" s="20">
        <v>20</v>
      </c>
      <c r="B44" s="20">
        <v>1.3956210674260865</v>
      </c>
      <c r="C44" s="20">
        <v>0.12289287245180103</v>
      </c>
      <c r="D44" s="20">
        <v>0.65971280449979675</v>
      </c>
      <c r="H44" s="20">
        <v>1.4219866065901845</v>
      </c>
      <c r="I44">
        <f t="shared" si="0"/>
        <v>26.423272681040327</v>
      </c>
    </row>
    <row r="45" spans="1:9" x14ac:dyDescent="0.2">
      <c r="A45" s="20">
        <v>21</v>
      </c>
      <c r="B45" s="20">
        <v>1.4219866065901845</v>
      </c>
      <c r="C45" s="20">
        <v>0.12208143776009117</v>
      </c>
      <c r="D45" s="20">
        <v>0.65535686549815697</v>
      </c>
      <c r="H45" s="20">
        <v>1.4483521457542827</v>
      </c>
      <c r="I45">
        <f t="shared" si="0"/>
        <v>28.077093338674757</v>
      </c>
    </row>
    <row r="46" spans="1:9" x14ac:dyDescent="0.2">
      <c r="A46" s="20">
        <v>22</v>
      </c>
      <c r="B46" s="20">
        <v>1.4483521457542827</v>
      </c>
      <c r="C46" s="20">
        <v>-0.27226088669860138</v>
      </c>
      <c r="D46" s="20">
        <v>-1.4615493114946996</v>
      </c>
      <c r="H46" s="20">
        <v>1.474717684918381</v>
      </c>
      <c r="I46">
        <f t="shared" si="0"/>
        <v>29.834425881480794</v>
      </c>
    </row>
    <row r="47" spans="1:9" x14ac:dyDescent="0.2">
      <c r="A47" s="20">
        <v>23</v>
      </c>
      <c r="B47" s="20">
        <v>1.474717684918381</v>
      </c>
      <c r="C47" s="20">
        <v>0.10506591169842916</v>
      </c>
      <c r="D47" s="20">
        <v>0.56401421726946455</v>
      </c>
      <c r="H47" s="20">
        <v>1.5010832240824792</v>
      </c>
      <c r="I47">
        <f t="shared" si="0"/>
        <v>31.701749071422363</v>
      </c>
    </row>
    <row r="48" spans="1:9" x14ac:dyDescent="0.2">
      <c r="A48" s="20">
        <v>24</v>
      </c>
      <c r="B48" s="20">
        <v>1.5010832240824792</v>
      </c>
      <c r="C48" s="20">
        <v>-0.32499196502679784</v>
      </c>
      <c r="D48" s="20">
        <v>-1.7446199800709967</v>
      </c>
      <c r="H48" s="20">
        <v>1.5274487632465772</v>
      </c>
      <c r="I48">
        <f t="shared" si="0"/>
        <v>33.685947173237366</v>
      </c>
    </row>
    <row r="49" spans="1:9" x14ac:dyDescent="0.2">
      <c r="A49" s="20">
        <v>25</v>
      </c>
      <c r="B49" s="20">
        <v>1.5274487632465772</v>
      </c>
      <c r="C49" s="20">
        <v>6.361584377992191E-2</v>
      </c>
      <c r="D49" s="20">
        <v>0.34150220328793507</v>
      </c>
      <c r="H49" s="20">
        <v>1.5538143024106754</v>
      </c>
      <c r="I49">
        <f t="shared" si="0"/>
        <v>35.79433533467266</v>
      </c>
    </row>
    <row r="50" spans="1:9" x14ac:dyDescent="0.2">
      <c r="A50" s="20">
        <v>26</v>
      </c>
      <c r="B50" s="20">
        <v>1.5538143024106754</v>
      </c>
      <c r="C50" s="20">
        <v>4.8245688917286866E-2</v>
      </c>
      <c r="D50" s="20">
        <v>0.25899222717844145</v>
      </c>
      <c r="H50" s="20">
        <v>1.5801798415747736</v>
      </c>
      <c r="I50">
        <f t="shared" si="0"/>
        <v>38.034686555256016</v>
      </c>
    </row>
    <row r="51" spans="1:9" x14ac:dyDescent="0.2">
      <c r="A51" s="20">
        <v>27</v>
      </c>
      <c r="B51" s="20">
        <v>1.5801798415747736</v>
      </c>
      <c r="C51" s="20">
        <v>-3.9624495796353187E-4</v>
      </c>
      <c r="D51" s="20">
        <v>-2.1271198831287036E-3</v>
      </c>
      <c r="H51" s="20">
        <v>1.6065453807388717</v>
      </c>
      <c r="I51">
        <f t="shared" si="0"/>
        <v>40.415260343031619</v>
      </c>
    </row>
    <row r="52" spans="1:9" x14ac:dyDescent="0.2">
      <c r="A52" s="20">
        <v>28</v>
      </c>
      <c r="B52" s="20">
        <v>1.6065453807388717</v>
      </c>
      <c r="C52" s="20">
        <v>1.6703909659028904E-2</v>
      </c>
      <c r="D52" s="20">
        <v>8.9669830865017786E-2</v>
      </c>
      <c r="H52" s="20">
        <v>1.6329109199029699</v>
      </c>
      <c r="I52">
        <f t="shared" si="0"/>
        <v>42.944833164907656</v>
      </c>
    </row>
    <row r="53" spans="1:9" ht="17" thickBot="1" x14ac:dyDescent="0.25">
      <c r="A53" s="20">
        <v>29</v>
      </c>
      <c r="B53" s="20">
        <v>1.6329109199029699</v>
      </c>
      <c r="C53" s="20">
        <v>-3.0850928575007597E-2</v>
      </c>
      <c r="D53" s="20">
        <v>-0.16561377568600322</v>
      </c>
      <c r="H53" s="21">
        <v>1.6592764590670681</v>
      </c>
      <c r="I53">
        <f t="shared" si="0"/>
        <v>45.632730802876985</v>
      </c>
    </row>
    <row r="54" spans="1:9" ht="17" thickBot="1" x14ac:dyDescent="0.25">
      <c r="A54" s="21">
        <v>30</v>
      </c>
      <c r="B54" s="21">
        <v>1.6592764590670681</v>
      </c>
      <c r="C54" s="21">
        <v>-1.5823782580880685E-2</v>
      </c>
      <c r="D54" s="21">
        <v>-8.4945137793260517E-2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44"/>
  <sheetViews>
    <sheetView zoomScale="93" zoomScaleNormal="70" workbookViewId="0">
      <selection activeCell="M35" sqref="M35"/>
    </sheetView>
  </sheetViews>
  <sheetFormatPr baseColWidth="10" defaultColWidth="10.83203125" defaultRowHeight="15" x14ac:dyDescent="0.2"/>
  <cols>
    <col min="1" max="5" width="10.83203125" style="4"/>
    <col min="6" max="6" width="14.1640625" style="4" bestFit="1" customWidth="1"/>
    <col min="7" max="7" width="18.83203125" style="4" bestFit="1" customWidth="1"/>
    <col min="8" max="8" width="18" style="4" customWidth="1"/>
    <col min="9" max="9" width="14.33203125" style="4" customWidth="1"/>
    <col min="10" max="10" width="21.1640625" style="4" customWidth="1"/>
    <col min="11" max="11" width="17.6640625" style="4" customWidth="1"/>
    <col min="12" max="16384" width="10.83203125" style="4"/>
  </cols>
  <sheetData>
    <row r="1" spans="1:14" x14ac:dyDescent="0.2">
      <c r="A1" s="4" t="s">
        <v>33</v>
      </c>
    </row>
    <row r="3" spans="1:14" ht="16" x14ac:dyDescent="0.2">
      <c r="L3"/>
      <c r="M3"/>
    </row>
    <row r="4" spans="1:14" ht="16" x14ac:dyDescent="0.2">
      <c r="A4" s="3" t="s">
        <v>0</v>
      </c>
      <c r="B4" s="3"/>
      <c r="C4" s="3"/>
      <c r="D4" s="3"/>
      <c r="L4"/>
      <c r="M4"/>
    </row>
    <row r="5" spans="1:14" x14ac:dyDescent="0.2">
      <c r="B5" s="4" t="s">
        <v>36</v>
      </c>
      <c r="C5" s="6" t="s">
        <v>35</v>
      </c>
      <c r="D5" s="5" t="s">
        <v>5</v>
      </c>
      <c r="E5" s="4" t="s">
        <v>37</v>
      </c>
      <c r="F5" s="4" t="s">
        <v>68</v>
      </c>
      <c r="G5" s="4" t="s">
        <v>67</v>
      </c>
      <c r="H5" s="4" t="s">
        <v>72</v>
      </c>
      <c r="I5" s="4" t="s">
        <v>73</v>
      </c>
      <c r="J5" s="4" t="s">
        <v>74</v>
      </c>
      <c r="K5" s="4" t="s">
        <v>75</v>
      </c>
      <c r="M5" s="4" t="s">
        <v>68</v>
      </c>
      <c r="N5" s="4" t="s">
        <v>77</v>
      </c>
    </row>
    <row r="6" spans="1:14" ht="16" x14ac:dyDescent="0.2">
      <c r="B6" s="4">
        <f>C6^2</f>
        <v>1</v>
      </c>
      <c r="C6" s="7">
        <v>1</v>
      </c>
      <c r="D6" s="9">
        <v>2</v>
      </c>
      <c r="E6" s="4">
        <f>LOG10(D6)</f>
        <v>0.3010299956639812</v>
      </c>
      <c r="F6" s="20">
        <v>6.1849462365591386</v>
      </c>
      <c r="G6" s="24">
        <v>8.9806451599999999</v>
      </c>
      <c r="H6" s="4">
        <v>7.8464971855790209</v>
      </c>
      <c r="I6" s="4">
        <f>ABS(D6-F6)/D6</f>
        <v>2.0924731182795693</v>
      </c>
      <c r="J6" s="4">
        <f>ABS(D6-G6)/D6</f>
        <v>3.49032258</v>
      </c>
      <c r="K6" s="4">
        <f>ABS(D6-H6)/D6</f>
        <v>2.9232485927895104</v>
      </c>
      <c r="M6" s="4">
        <f>Sheet1!$B$17+Sheet1!$B$18*ex_1!C6</f>
        <v>6.1849462365591386</v>
      </c>
      <c r="N6" s="4">
        <f>Sheet2!$B$17+Sheet2!$B$18*ex_1!B6+ex_1!C6*Sheet2!$B$19</f>
        <v>8.9806451612903313</v>
      </c>
    </row>
    <row r="7" spans="1:14" ht="16" x14ac:dyDescent="0.2">
      <c r="B7" s="4">
        <f t="shared" ref="B7:B35" si="0">C7^2</f>
        <v>4</v>
      </c>
      <c r="C7" s="7">
        <v>2</v>
      </c>
      <c r="D7" s="9">
        <v>6</v>
      </c>
      <c r="E7" s="4">
        <f t="shared" ref="E7:E35" si="1">LOG10(D7)</f>
        <v>0.77815125038364363</v>
      </c>
      <c r="F7" s="20">
        <v>7.3193177604746005</v>
      </c>
      <c r="G7" s="24">
        <v>9.5365962199999998</v>
      </c>
      <c r="H7" s="4">
        <v>8.3376058870720122</v>
      </c>
      <c r="I7" s="4">
        <f t="shared" ref="I7:I35" si="2">ABS(D7-F7)/D7</f>
        <v>0.2198862934124334</v>
      </c>
      <c r="J7" s="4">
        <f t="shared" ref="J7:J35" si="3">ABS(D7-G7)/D7</f>
        <v>0.58943270333333331</v>
      </c>
      <c r="K7" s="4">
        <f t="shared" ref="K7:K35" si="4">ABS(D7-H7)/D7</f>
        <v>0.3896009811786687</v>
      </c>
      <c r="M7" s="4">
        <f>Sheet1!$B$17+Sheet1!$B$18*ex_1!C7</f>
        <v>7.3193177604746005</v>
      </c>
      <c r="N7" s="4">
        <f>Sheet2!$B$17+Sheet2!$B$18*ex_1!B7+ex_1!C7*Sheet2!$B$19</f>
        <v>9.5365962180200317</v>
      </c>
    </row>
    <row r="8" spans="1:14" ht="16" x14ac:dyDescent="0.2">
      <c r="B8" s="4">
        <f t="shared" si="0"/>
        <v>9</v>
      </c>
      <c r="C8" s="7">
        <v>3</v>
      </c>
      <c r="D8" s="9">
        <v>6</v>
      </c>
      <c r="E8" s="4">
        <f t="shared" si="1"/>
        <v>0.77815125038364363</v>
      </c>
      <c r="F8" s="20">
        <v>8.4536892843900624</v>
      </c>
      <c r="G8" s="24">
        <v>10.133863</v>
      </c>
      <c r="H8" s="4">
        <v>8.8594528595383739</v>
      </c>
      <c r="I8" s="4">
        <f t="shared" si="2"/>
        <v>0.40894821406501042</v>
      </c>
      <c r="J8" s="4">
        <f t="shared" si="3"/>
        <v>0.68897716666666664</v>
      </c>
      <c r="K8" s="4">
        <f t="shared" si="4"/>
        <v>0.47657547658972899</v>
      </c>
      <c r="M8" s="4">
        <f>Sheet1!$B$17+Sheet1!$B$18*ex_1!C8</f>
        <v>8.4536892843900624</v>
      </c>
      <c r="N8" s="4">
        <f>Sheet2!$B$17+Sheet2!$B$18*ex_1!B8+ex_1!C8*Sheet2!$B$19</f>
        <v>10.133863022405855</v>
      </c>
    </row>
    <row r="9" spans="1:14" ht="16" x14ac:dyDescent="0.2">
      <c r="B9" s="4">
        <f t="shared" si="0"/>
        <v>16</v>
      </c>
      <c r="C9" s="7">
        <v>4</v>
      </c>
      <c r="D9" s="9">
        <v>11</v>
      </c>
      <c r="E9" s="4">
        <f t="shared" si="1"/>
        <v>1.0413926851582251</v>
      </c>
      <c r="F9" s="20">
        <v>9.5880608083055243</v>
      </c>
      <c r="G9" s="24">
        <v>10.772445599999999</v>
      </c>
      <c r="H9" s="4">
        <v>9.4139619974225788</v>
      </c>
      <c r="I9" s="4">
        <f t="shared" si="2"/>
        <v>0.12835810833586142</v>
      </c>
      <c r="J9" s="4">
        <f t="shared" si="3"/>
        <v>2.0686763636363702E-2</v>
      </c>
      <c r="K9" s="4">
        <f t="shared" si="4"/>
        <v>0.14418527296158376</v>
      </c>
      <c r="M9" s="4">
        <f>Sheet1!$B$17+Sheet1!$B$18*ex_1!C9</f>
        <v>9.5880608083055243</v>
      </c>
      <c r="N9" s="4">
        <f>Sheet2!$B$17+Sheet2!$B$18*ex_1!B9+ex_1!C9*Sheet2!$B$19</f>
        <v>10.772445574447804</v>
      </c>
    </row>
    <row r="10" spans="1:14" ht="16" x14ac:dyDescent="0.2">
      <c r="B10" s="4">
        <f t="shared" si="0"/>
        <v>25</v>
      </c>
      <c r="C10" s="7">
        <v>5</v>
      </c>
      <c r="D10" s="9">
        <v>15</v>
      </c>
      <c r="E10" s="4">
        <f t="shared" si="1"/>
        <v>1.1760912590556813</v>
      </c>
      <c r="F10" s="20">
        <v>10.722432332220984</v>
      </c>
      <c r="G10" s="24">
        <v>11.452343900000001</v>
      </c>
      <c r="H10" s="4">
        <v>10.003177610850132</v>
      </c>
      <c r="I10" s="4">
        <f t="shared" si="2"/>
        <v>0.28517117785193435</v>
      </c>
      <c r="J10" s="4">
        <f t="shared" si="3"/>
        <v>0.23651040666666662</v>
      </c>
      <c r="K10" s="4">
        <f t="shared" si="4"/>
        <v>0.33312149260999119</v>
      </c>
      <c r="M10" s="4">
        <f>Sheet1!$B$17+Sheet1!$B$18*ex_1!C10</f>
        <v>10.722432332220986</v>
      </c>
      <c r="N10" s="4">
        <f>Sheet2!$B$17+Sheet2!$B$18*ex_1!B10+ex_1!C10*Sheet2!$B$19</f>
        <v>11.45234387414588</v>
      </c>
    </row>
    <row r="11" spans="1:14" ht="16" x14ac:dyDescent="0.2">
      <c r="B11" s="4">
        <f t="shared" si="0"/>
        <v>36</v>
      </c>
      <c r="C11" s="7">
        <v>6</v>
      </c>
      <c r="D11" s="9">
        <v>16</v>
      </c>
      <c r="E11" s="4">
        <f t="shared" si="1"/>
        <v>1.2041199826559248</v>
      </c>
      <c r="F11" s="20">
        <v>11.856803856136446</v>
      </c>
      <c r="G11" s="24">
        <v>12.1735579</v>
      </c>
      <c r="H11" s="4">
        <v>10.629271962390495</v>
      </c>
      <c r="I11" s="4">
        <f t="shared" si="2"/>
        <v>0.2589497589914721</v>
      </c>
      <c r="J11" s="4">
        <f t="shared" si="3"/>
        <v>0.23915263124999997</v>
      </c>
      <c r="K11" s="4">
        <f t="shared" si="4"/>
        <v>0.33567050235059404</v>
      </c>
      <c r="M11" s="4">
        <f>Sheet1!$B$17+Sheet1!$B$18*ex_1!C11</f>
        <v>11.856803856136446</v>
      </c>
      <c r="N11" s="4">
        <f>Sheet2!$B$17+Sheet2!$B$18*ex_1!B11+ex_1!C11*Sheet2!$B$19</f>
        <v>12.17355792150008</v>
      </c>
    </row>
    <row r="12" spans="1:14" ht="16" x14ac:dyDescent="0.2">
      <c r="B12" s="4">
        <f t="shared" si="0"/>
        <v>49</v>
      </c>
      <c r="C12" s="7">
        <v>7</v>
      </c>
      <c r="D12" s="9">
        <v>22</v>
      </c>
      <c r="E12" s="4">
        <f t="shared" si="1"/>
        <v>1.3424226808222062</v>
      </c>
      <c r="F12" s="20">
        <v>12.991175380051908</v>
      </c>
      <c r="G12" s="24">
        <v>12.9360877</v>
      </c>
      <c r="H12" s="4">
        <v>11.294553275542489</v>
      </c>
      <c r="I12" s="4">
        <f t="shared" si="2"/>
        <v>0.40949202817945873</v>
      </c>
      <c r="J12" s="4">
        <f t="shared" si="3"/>
        <v>0.41199601363636362</v>
      </c>
      <c r="K12" s="4">
        <f t="shared" si="4"/>
        <v>0.48661121474806868</v>
      </c>
      <c r="M12" s="4">
        <f>Sheet1!$B$17+Sheet1!$B$18*ex_1!C12</f>
        <v>12.991175380051908</v>
      </c>
      <c r="N12" s="4">
        <f>Sheet2!$B$17+Sheet2!$B$18*ex_1!B12+ex_1!C12*Sheet2!$B$19</f>
        <v>12.936087716510409</v>
      </c>
    </row>
    <row r="13" spans="1:14" ht="16" x14ac:dyDescent="0.2">
      <c r="B13" s="4">
        <f t="shared" si="0"/>
        <v>64</v>
      </c>
      <c r="C13" s="7">
        <v>8</v>
      </c>
      <c r="D13" s="9">
        <v>18</v>
      </c>
      <c r="E13" s="4">
        <f t="shared" si="1"/>
        <v>1.255272505103306</v>
      </c>
      <c r="F13" s="20">
        <v>14.12554690396737</v>
      </c>
      <c r="G13" s="24">
        <v>13.739933300000001</v>
      </c>
      <c r="H13" s="4">
        <v>12.001474244467266</v>
      </c>
      <c r="I13" s="4">
        <f t="shared" si="2"/>
        <v>0.21524739422403499</v>
      </c>
      <c r="J13" s="4">
        <f t="shared" si="3"/>
        <v>0.2366703722222222</v>
      </c>
      <c r="K13" s="4">
        <f t="shared" si="4"/>
        <v>0.33325143086292969</v>
      </c>
      <c r="M13" s="4">
        <f>Sheet1!$B$17+Sheet1!$B$18*ex_1!C13</f>
        <v>14.12554690396737</v>
      </c>
      <c r="N13" s="4">
        <f>Sheet2!$B$17+Sheet2!$B$18*ex_1!B13+ex_1!C13*Sheet2!$B$19</f>
        <v>13.739933259176862</v>
      </c>
    </row>
    <row r="14" spans="1:14" ht="16" x14ac:dyDescent="0.2">
      <c r="B14" s="4">
        <f t="shared" si="0"/>
        <v>81</v>
      </c>
      <c r="C14" s="7">
        <v>9</v>
      </c>
      <c r="D14" s="9">
        <v>20</v>
      </c>
      <c r="E14" s="4">
        <f t="shared" si="1"/>
        <v>1.3010299956639813</v>
      </c>
      <c r="F14" s="20">
        <v>15.259918427882832</v>
      </c>
      <c r="G14" s="24">
        <v>14.5850945</v>
      </c>
      <c r="H14" s="4">
        <v>12.752641076341547</v>
      </c>
      <c r="I14" s="4">
        <f t="shared" si="2"/>
        <v>0.2370040786058584</v>
      </c>
      <c r="J14" s="4">
        <f t="shared" si="3"/>
        <v>0.27074527500000001</v>
      </c>
      <c r="K14" s="4">
        <f t="shared" si="4"/>
        <v>0.36236794618292267</v>
      </c>
      <c r="M14" s="4">
        <f>Sheet1!$B$17+Sheet1!$B$18*ex_1!C14</f>
        <v>15.259918427882832</v>
      </c>
      <c r="N14" s="4">
        <f>Sheet2!$B$17+Sheet2!$B$18*ex_1!B14+ex_1!C14*Sheet2!$B$19</f>
        <v>14.585094549499441</v>
      </c>
    </row>
    <row r="15" spans="1:14" ht="16" x14ac:dyDescent="0.2">
      <c r="B15" s="4">
        <f t="shared" si="0"/>
        <v>100</v>
      </c>
      <c r="C15" s="7">
        <v>10</v>
      </c>
      <c r="D15" s="9">
        <v>22</v>
      </c>
      <c r="E15" s="4">
        <f t="shared" si="1"/>
        <v>1.3424226808222062</v>
      </c>
      <c r="F15" s="20">
        <v>16.394289951798292</v>
      </c>
      <c r="G15" s="24">
        <v>15.471571600000001</v>
      </c>
      <c r="H15" s="4">
        <v>13.550823099667683</v>
      </c>
      <c r="I15" s="4">
        <f t="shared" si="2"/>
        <v>0.25480500219098673</v>
      </c>
      <c r="J15" s="4">
        <f t="shared" si="3"/>
        <v>0.29674674545454544</v>
      </c>
      <c r="K15" s="4">
        <f t="shared" si="4"/>
        <v>0.38405349546965079</v>
      </c>
      <c r="M15" s="4">
        <f>Sheet1!$B$17+Sheet1!$B$18*ex_1!C15</f>
        <v>16.394289951798292</v>
      </c>
      <c r="N15" s="4">
        <f>Sheet2!$B$17+Sheet2!$B$18*ex_1!B15+ex_1!C15*Sheet2!$B$19</f>
        <v>15.471571587478149</v>
      </c>
    </row>
    <row r="16" spans="1:14" ht="16" x14ac:dyDescent="0.2">
      <c r="B16" s="4">
        <f t="shared" si="0"/>
        <v>121</v>
      </c>
      <c r="C16" s="7">
        <v>11</v>
      </c>
      <c r="D16" s="9">
        <v>11</v>
      </c>
      <c r="E16" s="4">
        <f t="shared" si="1"/>
        <v>1.0413926851582251</v>
      </c>
      <c r="F16" s="20">
        <v>17.528661475713754</v>
      </c>
      <c r="G16" s="24">
        <v>16.3993644</v>
      </c>
      <c r="H16" s="4">
        <v>14.398962973963446</v>
      </c>
      <c r="I16" s="4">
        <f t="shared" si="2"/>
        <v>0.59351467961034132</v>
      </c>
      <c r="J16" s="4">
        <f t="shared" si="3"/>
        <v>0.49085130909090907</v>
      </c>
      <c r="K16" s="4">
        <f t="shared" si="4"/>
        <v>0.30899663399667693</v>
      </c>
      <c r="M16" s="4">
        <f>Sheet1!$B$17+Sheet1!$B$18*ex_1!C16</f>
        <v>17.528661475713754</v>
      </c>
      <c r="N16" s="4">
        <f>Sheet2!$B$17+Sheet2!$B$18*ex_1!B16+ex_1!C16*Sheet2!$B$19</f>
        <v>16.399364373112981</v>
      </c>
    </row>
    <row r="17" spans="2:14" ht="16" x14ac:dyDescent="0.2">
      <c r="B17" s="4">
        <f t="shared" si="0"/>
        <v>144</v>
      </c>
      <c r="C17" s="7">
        <v>12</v>
      </c>
      <c r="D17" s="9">
        <v>15</v>
      </c>
      <c r="E17" s="4">
        <f t="shared" si="1"/>
        <v>1.1760912590556813</v>
      </c>
      <c r="F17" s="20">
        <v>18.663032999629216</v>
      </c>
      <c r="G17" s="24">
        <v>17.3684729</v>
      </c>
      <c r="H17" s="4">
        <v>15.300187538471707</v>
      </c>
      <c r="I17" s="4">
        <f t="shared" si="2"/>
        <v>0.24420219997528109</v>
      </c>
      <c r="J17" s="4">
        <f t="shared" si="3"/>
        <v>0.15789819333333335</v>
      </c>
      <c r="K17" s="4">
        <f t="shared" si="4"/>
        <v>2.0012502564780495E-2</v>
      </c>
      <c r="M17" s="4">
        <f>Sheet1!$B$17+Sheet1!$B$18*ex_1!C17</f>
        <v>18.663032999629216</v>
      </c>
      <c r="N17" s="4">
        <f>Sheet2!$B$17+Sheet2!$B$18*ex_1!B17+ex_1!C17*Sheet2!$B$19</f>
        <v>17.368472906403937</v>
      </c>
    </row>
    <row r="18" spans="2:14" ht="16" x14ac:dyDescent="0.2">
      <c r="B18" s="4">
        <f t="shared" si="0"/>
        <v>169</v>
      </c>
      <c r="C18" s="7">
        <v>13</v>
      </c>
      <c r="D18" s="9">
        <v>13</v>
      </c>
      <c r="E18" s="4">
        <f t="shared" si="1"/>
        <v>1.1139433523068367</v>
      </c>
      <c r="F18" s="20">
        <v>19.797404523544678</v>
      </c>
      <c r="G18" s="24">
        <v>18.378897200000001</v>
      </c>
      <c r="H18" s="4">
        <v>16.257819339885987</v>
      </c>
      <c r="I18" s="4">
        <f t="shared" si="2"/>
        <v>0.52287727104189829</v>
      </c>
      <c r="J18" s="4">
        <f t="shared" si="3"/>
        <v>0.41376132307692315</v>
      </c>
      <c r="K18" s="4">
        <f t="shared" si="4"/>
        <v>0.25060148768353752</v>
      </c>
      <c r="M18" s="4">
        <f>Sheet1!$B$17+Sheet1!$B$18*ex_1!C18</f>
        <v>19.797404523544678</v>
      </c>
      <c r="N18" s="4">
        <f>Sheet2!$B$17+Sheet2!$B$18*ex_1!B18+ex_1!C18*Sheet2!$B$19</f>
        <v>18.378897187351022</v>
      </c>
    </row>
    <row r="19" spans="2:14" ht="16" x14ac:dyDescent="0.2">
      <c r="B19" s="4">
        <f t="shared" si="0"/>
        <v>196</v>
      </c>
      <c r="C19" s="7">
        <v>14</v>
      </c>
      <c r="D19" s="9">
        <v>22</v>
      </c>
      <c r="E19" s="4">
        <f t="shared" si="1"/>
        <v>1.3424226808222062</v>
      </c>
      <c r="F19" s="20">
        <v>20.93177604746014</v>
      </c>
      <c r="G19" s="24">
        <v>19.4306372</v>
      </c>
      <c r="H19" s="4">
        <v>17.27538888159096</v>
      </c>
      <c r="I19" s="4">
        <f t="shared" si="2"/>
        <v>4.8555634206357272E-2</v>
      </c>
      <c r="J19" s="4">
        <f t="shared" si="3"/>
        <v>0.1167892181818182</v>
      </c>
      <c r="K19" s="4">
        <f t="shared" si="4"/>
        <v>0.21475505083677457</v>
      </c>
      <c r="M19" s="4">
        <f>Sheet1!$B$17+Sheet1!$B$18*ex_1!C19</f>
        <v>20.93177604746014</v>
      </c>
      <c r="N19" s="4">
        <f>Sheet2!$B$17+Sheet2!$B$18*ex_1!B19+ex_1!C19*Sheet2!$B$19</f>
        <v>19.430637215954231</v>
      </c>
    </row>
    <row r="20" spans="2:14" ht="16" x14ac:dyDescent="0.2">
      <c r="B20" s="4">
        <f t="shared" si="0"/>
        <v>225</v>
      </c>
      <c r="C20" s="7">
        <v>15</v>
      </c>
      <c r="D20" s="9">
        <v>21</v>
      </c>
      <c r="E20" s="4">
        <f t="shared" si="1"/>
        <v>1.3222192947339193</v>
      </c>
      <c r="F20" s="20">
        <v>22.066147571375602</v>
      </c>
      <c r="G20" s="24">
        <v>20.523693000000002</v>
      </c>
      <c r="H20" s="4">
        <v>18.356647639577563</v>
      </c>
      <c r="I20" s="4">
        <f t="shared" si="2"/>
        <v>5.0768931970266759E-2</v>
      </c>
      <c r="J20" s="4">
        <f t="shared" si="3"/>
        <v>2.2681285714285643E-2</v>
      </c>
      <c r="K20" s="4">
        <f t="shared" si="4"/>
        <v>0.12587392192487795</v>
      </c>
      <c r="M20" s="4">
        <f>Sheet1!$B$17+Sheet1!$B$18*ex_1!C20</f>
        <v>22.066147571375602</v>
      </c>
      <c r="N20" s="4">
        <f>Sheet2!$B$17+Sheet2!$B$18*ex_1!B20+ex_1!C20*Sheet2!$B$19</f>
        <v>20.523692992213565</v>
      </c>
    </row>
    <row r="21" spans="2:14" ht="16" x14ac:dyDescent="0.2">
      <c r="B21" s="4">
        <f t="shared" si="0"/>
        <v>256</v>
      </c>
      <c r="C21" s="7">
        <v>16</v>
      </c>
      <c r="D21" s="9">
        <v>26</v>
      </c>
      <c r="E21" s="4">
        <f t="shared" si="1"/>
        <v>1.414973347970818</v>
      </c>
      <c r="F21" s="20">
        <v>23.200519095291064</v>
      </c>
      <c r="G21" s="24">
        <v>21.658064499999998</v>
      </c>
      <c r="H21" s="4">
        <v>19.505581893018196</v>
      </c>
      <c r="I21" s="4">
        <f t="shared" si="2"/>
        <v>0.10767234248880524</v>
      </c>
      <c r="J21" s="4">
        <f t="shared" si="3"/>
        <v>0.1669975192307693</v>
      </c>
      <c r="K21" s="4">
        <f t="shared" si="4"/>
        <v>0.24978531180699248</v>
      </c>
      <c r="M21" s="4">
        <f>Sheet1!$B$17+Sheet1!$B$18*ex_1!C21</f>
        <v>23.200519095291064</v>
      </c>
      <c r="N21" s="4">
        <f>Sheet2!$B$17+Sheet2!$B$18*ex_1!B21+ex_1!C21*Sheet2!$B$19</f>
        <v>21.658064516129027</v>
      </c>
    </row>
    <row r="22" spans="2:14" ht="16" x14ac:dyDescent="0.2">
      <c r="B22" s="4">
        <f t="shared" si="0"/>
        <v>289</v>
      </c>
      <c r="C22" s="7">
        <v>17</v>
      </c>
      <c r="D22" s="9">
        <v>23</v>
      </c>
      <c r="E22" s="4">
        <f t="shared" si="1"/>
        <v>1.3617278360175928</v>
      </c>
      <c r="F22" s="20">
        <v>24.334890619206526</v>
      </c>
      <c r="G22" s="24">
        <v>22.833751800000002</v>
      </c>
      <c r="H22" s="4">
        <v>20.726427420491422</v>
      </c>
      <c r="I22" s="4">
        <f t="shared" si="2"/>
        <v>5.8038722574196774E-2</v>
      </c>
      <c r="J22" s="4">
        <f t="shared" si="3"/>
        <v>7.228182608695578E-3</v>
      </c>
      <c r="K22" s="4">
        <f t="shared" si="4"/>
        <v>9.8850981717764255E-2</v>
      </c>
      <c r="M22" s="4">
        <f>Sheet1!$B$17+Sheet1!$B$18*ex_1!C22</f>
        <v>24.334890619206526</v>
      </c>
      <c r="N22" s="4">
        <f>Sheet2!$B$17+Sheet2!$B$18*ex_1!B22+ex_1!C22*Sheet2!$B$19</f>
        <v>22.833751787700614</v>
      </c>
    </row>
    <row r="23" spans="2:14" ht="16" x14ac:dyDescent="0.2">
      <c r="B23" s="4">
        <f t="shared" si="0"/>
        <v>324</v>
      </c>
      <c r="C23" s="7">
        <v>18</v>
      </c>
      <c r="D23" s="9">
        <v>16</v>
      </c>
      <c r="E23" s="4">
        <f t="shared" si="1"/>
        <v>1.2041199826559248</v>
      </c>
      <c r="F23" s="20">
        <v>25.469262143121988</v>
      </c>
      <c r="G23" s="24">
        <v>24.0507548</v>
      </c>
      <c r="H23" s="4">
        <v>22.023685116036621</v>
      </c>
      <c r="I23" s="4">
        <f t="shared" si="2"/>
        <v>0.59182888394512423</v>
      </c>
      <c r="J23" s="4">
        <f t="shared" si="3"/>
        <v>0.503172175</v>
      </c>
      <c r="K23" s="4">
        <f t="shared" si="4"/>
        <v>0.37648031975228879</v>
      </c>
      <c r="M23" s="4">
        <f>Sheet1!$B$17+Sheet1!$B$18*ex_1!C23</f>
        <v>25.469262143121988</v>
      </c>
      <c r="N23" s="4">
        <f>Sheet2!$B$17+Sheet2!$B$18*ex_1!B23+ex_1!C23*Sheet2!$B$19</f>
        <v>24.050754806928325</v>
      </c>
    </row>
    <row r="24" spans="2:14" ht="16" x14ac:dyDescent="0.2">
      <c r="B24" s="4">
        <f t="shared" si="0"/>
        <v>361</v>
      </c>
      <c r="C24" s="7">
        <v>19</v>
      </c>
      <c r="D24" s="9">
        <v>15</v>
      </c>
      <c r="E24" s="4">
        <f t="shared" si="1"/>
        <v>1.1760912590556813</v>
      </c>
      <c r="F24" s="20">
        <v>26.60363366703745</v>
      </c>
      <c r="G24" s="24">
        <v>25.309073600000001</v>
      </c>
      <c r="H24" s="4">
        <v>23.402137582610614</v>
      </c>
      <c r="I24" s="4">
        <f t="shared" si="2"/>
        <v>0.77357557780249664</v>
      </c>
      <c r="J24" s="4">
        <f t="shared" si="3"/>
        <v>0.68727157333333344</v>
      </c>
      <c r="K24" s="4">
        <f t="shared" si="4"/>
        <v>0.56014250550737421</v>
      </c>
      <c r="M24" s="4">
        <f>Sheet1!$B$17+Sheet1!$B$18*ex_1!C24</f>
        <v>26.60363366703745</v>
      </c>
      <c r="N24" s="4">
        <f>Sheet2!$B$17+Sheet2!$B$18*ex_1!B24+ex_1!C24*Sheet2!$B$19</f>
        <v>25.309073573812167</v>
      </c>
    </row>
    <row r="25" spans="2:14" ht="16" x14ac:dyDescent="0.2">
      <c r="B25" s="4">
        <f t="shared" si="0"/>
        <v>400</v>
      </c>
      <c r="C25" s="7">
        <v>20</v>
      </c>
      <c r="D25" s="9">
        <v>33</v>
      </c>
      <c r="E25" s="4">
        <f t="shared" si="1"/>
        <v>1.5185139398778875</v>
      </c>
      <c r="F25" s="20">
        <v>27.738005190952912</v>
      </c>
      <c r="G25" s="24">
        <v>26.608708100000001</v>
      </c>
      <c r="H25" s="4">
        <v>24.866866764120942</v>
      </c>
      <c r="I25" s="4">
        <f t="shared" si="2"/>
        <v>0.15945438815294208</v>
      </c>
      <c r="J25" s="4">
        <f t="shared" si="3"/>
        <v>0.19367551212121209</v>
      </c>
      <c r="K25" s="4">
        <f t="shared" si="4"/>
        <v>0.24645858290542599</v>
      </c>
      <c r="M25" s="4">
        <f>Sheet1!$B$17+Sheet1!$B$18*ex_1!C25</f>
        <v>27.738005190952912</v>
      </c>
      <c r="N25" s="4">
        <f>Sheet2!$B$17+Sheet2!$B$18*ex_1!B25+ex_1!C25*Sheet2!$B$19</f>
        <v>26.608708088352131</v>
      </c>
    </row>
    <row r="26" spans="2:14" ht="16" x14ac:dyDescent="0.2">
      <c r="B26" s="4">
        <f t="shared" si="0"/>
        <v>441</v>
      </c>
      <c r="C26" s="7">
        <v>21</v>
      </c>
      <c r="D26" s="9">
        <v>35</v>
      </c>
      <c r="E26" s="4">
        <f t="shared" si="1"/>
        <v>1.5440680443502757</v>
      </c>
      <c r="F26" s="20">
        <v>28.872376714868373</v>
      </c>
      <c r="G26" s="24">
        <v>27.949658400000001</v>
      </c>
      <c r="H26" s="4">
        <v>26.423272681040327</v>
      </c>
      <c r="I26" s="4">
        <f t="shared" si="2"/>
        <v>0.17507495100376075</v>
      </c>
      <c r="J26" s="4">
        <f t="shared" si="3"/>
        <v>0.2014383314285714</v>
      </c>
      <c r="K26" s="4">
        <f t="shared" si="4"/>
        <v>0.24504935197027636</v>
      </c>
      <c r="M26" s="4">
        <f>Sheet1!$B$17+Sheet1!$B$18*ex_1!C26</f>
        <v>28.872376714868373</v>
      </c>
      <c r="N26" s="4">
        <f>Sheet2!$B$17+Sheet2!$B$18*ex_1!B26+ex_1!C26*Sheet2!$B$19</f>
        <v>27.949658350548226</v>
      </c>
    </row>
    <row r="27" spans="2:14" ht="16" x14ac:dyDescent="0.2">
      <c r="B27" s="4">
        <f t="shared" si="0"/>
        <v>484</v>
      </c>
      <c r="C27" s="7">
        <v>22</v>
      </c>
      <c r="D27" s="9">
        <v>15</v>
      </c>
      <c r="E27" s="4">
        <f t="shared" si="1"/>
        <v>1.1760912590556813</v>
      </c>
      <c r="F27" s="20">
        <v>30.006748238783835</v>
      </c>
      <c r="G27" s="24">
        <v>29.331924399999998</v>
      </c>
      <c r="H27" s="4">
        <v>28.077093338674757</v>
      </c>
      <c r="I27" s="4">
        <f t="shared" si="2"/>
        <v>1.000449882585589</v>
      </c>
      <c r="J27" s="4">
        <f t="shared" si="3"/>
        <v>0.95546162666666656</v>
      </c>
      <c r="K27" s="4">
        <f t="shared" si="4"/>
        <v>0.87180622257831719</v>
      </c>
      <c r="M27" s="4">
        <f>Sheet1!$B$17+Sheet1!$B$18*ex_1!C27</f>
        <v>30.006748238783835</v>
      </c>
      <c r="N27" s="4">
        <f>Sheet2!$B$17+Sheet2!$B$18*ex_1!B27+ex_1!C27*Sheet2!$B$19</f>
        <v>29.331924360400443</v>
      </c>
    </row>
    <row r="28" spans="2:14" ht="16" x14ac:dyDescent="0.2">
      <c r="B28" s="4">
        <f t="shared" si="0"/>
        <v>529</v>
      </c>
      <c r="C28" s="7">
        <v>23</v>
      </c>
      <c r="D28" s="9">
        <v>38</v>
      </c>
      <c r="E28" s="4">
        <f t="shared" si="1"/>
        <v>1.5797835966168101</v>
      </c>
      <c r="F28" s="20">
        <v>31.141119762699297</v>
      </c>
      <c r="G28" s="24">
        <v>30.755506100000002</v>
      </c>
      <c r="H28" s="4">
        <v>29.834425881480794</v>
      </c>
      <c r="I28" s="4">
        <f t="shared" si="2"/>
        <v>0.1804968483500185</v>
      </c>
      <c r="J28" s="4">
        <f t="shared" si="3"/>
        <v>0.19064457631578943</v>
      </c>
      <c r="K28" s="4">
        <f t="shared" si="4"/>
        <v>0.21488352943471595</v>
      </c>
      <c r="M28" s="4">
        <f>Sheet1!$B$17+Sheet1!$B$18*ex_1!C28</f>
        <v>31.141119762699297</v>
      </c>
      <c r="N28" s="4">
        <f>Sheet2!$B$17+Sheet2!$B$18*ex_1!B28+ex_1!C28*Sheet2!$B$19</f>
        <v>30.755506117908787</v>
      </c>
    </row>
    <row r="29" spans="2:14" ht="16" x14ac:dyDescent="0.2">
      <c r="B29" s="4">
        <f t="shared" si="0"/>
        <v>576</v>
      </c>
      <c r="C29" s="7">
        <v>24</v>
      </c>
      <c r="D29" s="9">
        <v>15</v>
      </c>
      <c r="E29" s="4">
        <f t="shared" si="1"/>
        <v>1.1760912590556813</v>
      </c>
      <c r="F29" s="20">
        <v>32.275491286614759</v>
      </c>
      <c r="G29" s="24">
        <v>32.220403599999997</v>
      </c>
      <c r="H29" s="4">
        <v>31.701749071422363</v>
      </c>
      <c r="I29" s="4">
        <f t="shared" si="2"/>
        <v>1.1516994191076506</v>
      </c>
      <c r="J29" s="4">
        <f t="shared" si="3"/>
        <v>1.1480269066666664</v>
      </c>
      <c r="K29" s="4">
        <f t="shared" si="4"/>
        <v>1.1134499380948242</v>
      </c>
      <c r="M29" s="4">
        <f>Sheet1!$B$17+Sheet1!$B$18*ex_1!C29</f>
        <v>32.275491286614752</v>
      </c>
      <c r="N29" s="4">
        <f>Sheet2!$B$17+Sheet2!$B$18*ex_1!B29+ex_1!C29*Sheet2!$B$19</f>
        <v>32.220403623073253</v>
      </c>
    </row>
    <row r="30" spans="2:14" ht="16" x14ac:dyDescent="0.2">
      <c r="B30" s="4">
        <f t="shared" si="0"/>
        <v>625</v>
      </c>
      <c r="C30" s="7">
        <v>25</v>
      </c>
      <c r="D30" s="9">
        <v>39</v>
      </c>
      <c r="E30" s="4">
        <f t="shared" si="1"/>
        <v>1.5910646070264991</v>
      </c>
      <c r="F30" s="20">
        <v>33.409862810530221</v>
      </c>
      <c r="G30" s="24">
        <v>33.726616900000003</v>
      </c>
      <c r="H30" s="4">
        <v>33.685947173237366</v>
      </c>
      <c r="I30" s="4">
        <f t="shared" si="2"/>
        <v>0.1433368510120456</v>
      </c>
      <c r="J30" s="4">
        <f t="shared" si="3"/>
        <v>0.13521495128205119</v>
      </c>
      <c r="K30" s="4">
        <f t="shared" si="4"/>
        <v>0.13625776478878548</v>
      </c>
      <c r="M30" s="4">
        <f>Sheet1!$B$17+Sheet1!$B$18*ex_1!C30</f>
        <v>33.409862810530214</v>
      </c>
      <c r="N30" s="4">
        <f>Sheet2!$B$17+Sheet2!$B$18*ex_1!B30+ex_1!C30*Sheet2!$B$19</f>
        <v>33.726616875893846</v>
      </c>
    </row>
    <row r="31" spans="2:14" ht="16" x14ac:dyDescent="0.2">
      <c r="B31" s="4">
        <f t="shared" si="0"/>
        <v>676</v>
      </c>
      <c r="C31" s="7">
        <v>26</v>
      </c>
      <c r="D31" s="9">
        <v>40</v>
      </c>
      <c r="E31" s="4">
        <f t="shared" si="1"/>
        <v>1.6020599913279623</v>
      </c>
      <c r="F31" s="20">
        <v>34.544234334445683</v>
      </c>
      <c r="G31" s="24">
        <v>35.274145900000001</v>
      </c>
      <c r="H31" s="4">
        <v>35.79433533467266</v>
      </c>
      <c r="I31" s="4">
        <f t="shared" si="2"/>
        <v>0.13639414163885794</v>
      </c>
      <c r="J31" s="4">
        <f t="shared" si="3"/>
        <v>0.11814635249999998</v>
      </c>
      <c r="K31" s="4">
        <f t="shared" si="4"/>
        <v>0.10514161663318351</v>
      </c>
      <c r="M31" s="4">
        <f>Sheet1!$B$17+Sheet1!$B$18*ex_1!C31</f>
        <v>34.544234334445676</v>
      </c>
      <c r="N31" s="4">
        <f>Sheet2!$B$17+Sheet2!$B$18*ex_1!B31+ex_1!C31*Sheet2!$B$19</f>
        <v>35.274145876370568</v>
      </c>
    </row>
    <row r="32" spans="2:14" ht="16" x14ac:dyDescent="0.2">
      <c r="B32" s="4">
        <f t="shared" si="0"/>
        <v>729</v>
      </c>
      <c r="C32" s="7">
        <v>27</v>
      </c>
      <c r="D32" s="9">
        <v>38</v>
      </c>
      <c r="E32" s="4">
        <f t="shared" si="1"/>
        <v>1.5797835966168101</v>
      </c>
      <c r="F32" s="20">
        <v>35.678605858361145</v>
      </c>
      <c r="G32" s="24">
        <v>36.862990600000003</v>
      </c>
      <c r="H32" s="4">
        <v>38.034686555256016</v>
      </c>
      <c r="I32" s="4">
        <f t="shared" si="2"/>
        <v>6.1089319516811978E-2</v>
      </c>
      <c r="J32" s="4">
        <f t="shared" si="3"/>
        <v>2.9921299999999911E-2</v>
      </c>
      <c r="K32" s="4">
        <f t="shared" si="4"/>
        <v>9.1280408568463292E-4</v>
      </c>
      <c r="M32" s="4">
        <f>Sheet1!$B$17+Sheet1!$B$18*ex_1!C32</f>
        <v>35.678605858361138</v>
      </c>
      <c r="N32" s="4">
        <f>Sheet2!$B$17+Sheet2!$B$18*ex_1!B32+ex_1!C32*Sheet2!$B$19</f>
        <v>36.862990624503418</v>
      </c>
    </row>
    <row r="33" spans="1:14" ht="16" x14ac:dyDescent="0.2">
      <c r="B33" s="4">
        <f t="shared" si="0"/>
        <v>784</v>
      </c>
      <c r="C33" s="7">
        <v>28</v>
      </c>
      <c r="D33" s="9">
        <v>42</v>
      </c>
      <c r="E33" s="4">
        <f t="shared" si="1"/>
        <v>1.6232492903979006</v>
      </c>
      <c r="F33" s="20">
        <v>36.812977382276607</v>
      </c>
      <c r="G33" s="24">
        <v>38.493151099999999</v>
      </c>
      <c r="H33" s="4">
        <v>40.415260343031619</v>
      </c>
      <c r="I33" s="4">
        <f t="shared" si="2"/>
        <v>0.12350053851722365</v>
      </c>
      <c r="J33" s="4">
        <f t="shared" si="3"/>
        <v>8.349640238095242E-2</v>
      </c>
      <c r="K33" s="4">
        <f t="shared" si="4"/>
        <v>3.7731896594485261E-2</v>
      </c>
      <c r="M33" s="4">
        <f>Sheet1!$B$17+Sheet1!$B$18*ex_1!C33</f>
        <v>36.8129773822766</v>
      </c>
      <c r="N33" s="4">
        <f>Sheet2!$B$17+Sheet2!$B$18*ex_1!B33+ex_1!C33*Sheet2!$B$19</f>
        <v>38.493151120292389</v>
      </c>
    </row>
    <row r="34" spans="1:14" ht="16" x14ac:dyDescent="0.2">
      <c r="B34" s="4">
        <f t="shared" si="0"/>
        <v>841</v>
      </c>
      <c r="C34" s="7">
        <v>29</v>
      </c>
      <c r="D34" s="9">
        <v>40</v>
      </c>
      <c r="E34" s="4">
        <f t="shared" si="1"/>
        <v>1.6020599913279623</v>
      </c>
      <c r="F34" s="20">
        <v>37.947348906192069</v>
      </c>
      <c r="G34" s="24">
        <v>40.164627400000001</v>
      </c>
      <c r="H34" s="4">
        <v>42.944833164907656</v>
      </c>
      <c r="I34" s="4">
        <f t="shared" si="2"/>
        <v>5.131627734519828E-2</v>
      </c>
      <c r="J34" s="4">
        <f t="shared" si="3"/>
        <v>4.115685000000013E-3</v>
      </c>
      <c r="K34" s="4">
        <f t="shared" si="4"/>
        <v>7.3620829122691411E-2</v>
      </c>
      <c r="M34" s="4">
        <f>Sheet1!$B$17+Sheet1!$B$18*ex_1!C34</f>
        <v>37.947348906192062</v>
      </c>
      <c r="N34" s="4">
        <f>Sheet2!$B$17+Sheet2!$B$18*ex_1!B34+ex_1!C34*Sheet2!$B$19</f>
        <v>40.164627363737488</v>
      </c>
    </row>
    <row r="35" spans="1:14" ht="17" thickBot="1" x14ac:dyDescent="0.25">
      <c r="B35" s="4">
        <f t="shared" si="0"/>
        <v>900</v>
      </c>
      <c r="C35" s="8">
        <v>30</v>
      </c>
      <c r="D35" s="10">
        <v>44</v>
      </c>
      <c r="E35" s="4">
        <f t="shared" si="1"/>
        <v>1.6434526764861874</v>
      </c>
      <c r="F35" s="21">
        <v>39.081720430107531</v>
      </c>
      <c r="G35" s="24">
        <v>41.877419400000001</v>
      </c>
      <c r="H35" s="4">
        <v>45.632730802876985</v>
      </c>
      <c r="I35" s="4">
        <f t="shared" si="2"/>
        <v>0.11177908113391975</v>
      </c>
      <c r="J35" s="4">
        <f t="shared" si="3"/>
        <v>4.8240468181818159E-2</v>
      </c>
      <c r="K35" s="4">
        <f t="shared" si="4"/>
        <v>3.7107518247204201E-2</v>
      </c>
      <c r="M35" s="4">
        <f>Sheet1!$B$17+Sheet1!$B$18*ex_1!C35</f>
        <v>39.081720430107524</v>
      </c>
      <c r="N35" s="4">
        <f>Sheet2!$B$17+Sheet2!$B$18*ex_1!B35+ex_1!C35*Sheet2!$B$19</f>
        <v>41.877419354838707</v>
      </c>
    </row>
    <row r="36" spans="1:14" x14ac:dyDescent="0.2">
      <c r="I36" s="4">
        <f>SUM(I6:I35)</f>
        <v>10.795961116115405</v>
      </c>
      <c r="J36" s="4">
        <f t="shared" ref="J36:K36" si="5">SUM(J6:J35)</f>
        <v>12.156273549979957</v>
      </c>
      <c r="K36" s="4">
        <f t="shared" si="5"/>
        <v>11.456605175990312</v>
      </c>
    </row>
    <row r="37" spans="1:14" x14ac:dyDescent="0.2">
      <c r="H37" s="4" t="s">
        <v>76</v>
      </c>
      <c r="I37" s="25">
        <f>I36/30</f>
        <v>0.35986537053718021</v>
      </c>
      <c r="J37" s="25">
        <f t="shared" ref="J37:K37" si="6">J36/30</f>
        <v>0.40520911833266526</v>
      </c>
      <c r="K37" s="25">
        <f t="shared" si="6"/>
        <v>0.38188683919967709</v>
      </c>
    </row>
    <row r="40" spans="1:14" x14ac:dyDescent="0.2">
      <c r="A40" s="11" t="s">
        <v>18</v>
      </c>
    </row>
    <row r="41" spans="1:14" x14ac:dyDescent="0.2">
      <c r="A41" s="1" t="s">
        <v>31</v>
      </c>
    </row>
    <row r="42" spans="1:14" x14ac:dyDescent="0.2">
      <c r="A42" s="11" t="s">
        <v>19</v>
      </c>
    </row>
    <row r="43" spans="1:14" x14ac:dyDescent="0.2">
      <c r="A43" s="2"/>
    </row>
    <row r="44" spans="1:14" x14ac:dyDescent="0.2">
      <c r="A44" s="2"/>
    </row>
  </sheetData>
  <sortState xmlns:xlrd2="http://schemas.microsoft.com/office/spreadsheetml/2017/richdata2" ref="A12:D44">
    <sortCondition ref="A13:A44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B7037-24B6-4E76-AD75-542269CDC164}">
  <dimension ref="A1:I24"/>
  <sheetViews>
    <sheetView zoomScale="108" zoomScaleNormal="80" workbookViewId="0">
      <selection activeCell="H5" sqref="H5:I5"/>
    </sheetView>
  </sheetViews>
  <sheetFormatPr baseColWidth="10" defaultColWidth="8.83203125" defaultRowHeight="16" x14ac:dyDescent="0.2"/>
  <cols>
    <col min="2" max="2" width="10.83203125" bestFit="1" customWidth="1"/>
    <col min="8" max="8" width="21" customWidth="1"/>
    <col min="9" max="9" width="22" customWidth="1"/>
  </cols>
  <sheetData>
    <row r="1" spans="1:9" x14ac:dyDescent="0.2">
      <c r="A1" s="4" t="s">
        <v>20</v>
      </c>
    </row>
    <row r="3" spans="1:9" x14ac:dyDescent="0.2">
      <c r="B3" t="s">
        <v>28</v>
      </c>
    </row>
    <row r="4" spans="1:9" x14ac:dyDescent="0.2">
      <c r="B4" s="12"/>
      <c r="C4" s="18">
        <v>2022</v>
      </c>
      <c r="D4" s="19"/>
      <c r="E4" s="18">
        <v>2023</v>
      </c>
      <c r="F4" s="19"/>
    </row>
    <row r="5" spans="1:9" x14ac:dyDescent="0.2">
      <c r="B5" s="12"/>
      <c r="C5" s="12" t="s">
        <v>22</v>
      </c>
      <c r="D5" s="12" t="s">
        <v>23</v>
      </c>
      <c r="E5" s="12" t="s">
        <v>22</v>
      </c>
      <c r="F5" s="12" t="s">
        <v>23</v>
      </c>
      <c r="H5" t="s">
        <v>85</v>
      </c>
      <c r="I5" t="s">
        <v>86</v>
      </c>
    </row>
    <row r="6" spans="1:9" x14ac:dyDescent="0.2">
      <c r="B6" s="12" t="s">
        <v>24</v>
      </c>
      <c r="C6" s="12">
        <v>18</v>
      </c>
      <c r="D6" s="12">
        <v>0.9</v>
      </c>
      <c r="E6" s="12">
        <v>15</v>
      </c>
      <c r="F6" s="12">
        <v>1.02</v>
      </c>
      <c r="H6">
        <f>F6*E6</f>
        <v>15.3</v>
      </c>
      <c r="I6">
        <f>D6*E6</f>
        <v>13.5</v>
      </c>
    </row>
    <row r="7" spans="1:9" x14ac:dyDescent="0.2">
      <c r="B7" s="12" t="s">
        <v>25</v>
      </c>
      <c r="C7" s="12">
        <v>24</v>
      </c>
      <c r="D7" s="12">
        <v>0.8</v>
      </c>
      <c r="E7" s="12">
        <v>27</v>
      </c>
      <c r="F7" s="12">
        <v>0.87</v>
      </c>
      <c r="H7">
        <f t="shared" ref="H7:H8" si="0">F7*E7</f>
        <v>23.49</v>
      </c>
      <c r="I7">
        <f t="shared" ref="I7:I8" si="1">D7*E7</f>
        <v>21.6</v>
      </c>
    </row>
    <row r="8" spans="1:9" x14ac:dyDescent="0.2">
      <c r="B8" s="12" t="s">
        <v>26</v>
      </c>
      <c r="C8" s="12">
        <v>16</v>
      </c>
      <c r="D8" s="12">
        <v>0.3</v>
      </c>
      <c r="E8" s="12">
        <v>15</v>
      </c>
      <c r="F8" s="12">
        <v>0.24</v>
      </c>
      <c r="H8">
        <f t="shared" si="0"/>
        <v>3.5999999999999996</v>
      </c>
      <c r="I8">
        <f t="shared" si="1"/>
        <v>4.5</v>
      </c>
    </row>
    <row r="9" spans="1:9" x14ac:dyDescent="0.2">
      <c r="H9">
        <f>SUM(H6:H8)</f>
        <v>42.39</v>
      </c>
      <c r="I9">
        <f>SUM(I6:I8)</f>
        <v>39.6</v>
      </c>
    </row>
    <row r="10" spans="1:9" x14ac:dyDescent="0.2">
      <c r="A10" s="27" t="s">
        <v>78</v>
      </c>
      <c r="B10">
        <f>C11/C12</f>
        <v>1.071641791044776</v>
      </c>
      <c r="C10" s="28">
        <v>1.071641791044776</v>
      </c>
    </row>
    <row r="11" spans="1:9" x14ac:dyDescent="0.2">
      <c r="A11" t="s">
        <v>80</v>
      </c>
      <c r="B11" s="26" t="s">
        <v>82</v>
      </c>
      <c r="C11">
        <f>F6*C6+F7*C7+F8*C8</f>
        <v>43.08</v>
      </c>
      <c r="I11">
        <f>H9/I9*100</f>
        <v>107.04545454545453</v>
      </c>
    </row>
    <row r="12" spans="1:9" x14ac:dyDescent="0.2">
      <c r="A12" t="s">
        <v>81</v>
      </c>
      <c r="B12" s="26" t="s">
        <v>83</v>
      </c>
      <c r="C12">
        <f>D6*C6+D7*C7+D8*C8</f>
        <v>40.200000000000003</v>
      </c>
    </row>
    <row r="13" spans="1:9" x14ac:dyDescent="0.2">
      <c r="B13" s="26"/>
    </row>
    <row r="14" spans="1:9" x14ac:dyDescent="0.2">
      <c r="A14" s="27" t="s">
        <v>79</v>
      </c>
      <c r="B14">
        <f>C15/C16</f>
        <v>1.0704545454545453</v>
      </c>
      <c r="C14" s="28">
        <v>1.0704545454545453</v>
      </c>
    </row>
    <row r="15" spans="1:9" x14ac:dyDescent="0.2">
      <c r="A15" t="s">
        <v>80</v>
      </c>
      <c r="B15" s="26" t="s">
        <v>87</v>
      </c>
      <c r="C15">
        <f>H9</f>
        <v>42.39</v>
      </c>
    </row>
    <row r="16" spans="1:9" x14ac:dyDescent="0.2">
      <c r="A16" t="s">
        <v>81</v>
      </c>
      <c r="B16" s="26" t="s">
        <v>88</v>
      </c>
      <c r="C16">
        <f>I9</f>
        <v>39.6</v>
      </c>
    </row>
    <row r="18" spans="1:3" x14ac:dyDescent="0.2">
      <c r="A18" t="s">
        <v>89</v>
      </c>
      <c r="B18">
        <f>SQRT(B10*B14)</f>
        <v>1.0710480037434973</v>
      </c>
      <c r="C18" s="28">
        <v>1.0710480037434973</v>
      </c>
    </row>
    <row r="20" spans="1:3" x14ac:dyDescent="0.2">
      <c r="B20" s="29">
        <f>B18-1</f>
        <v>7.104800374349729E-2</v>
      </c>
    </row>
    <row r="22" spans="1:3" x14ac:dyDescent="0.2">
      <c r="A22" t="s">
        <v>21</v>
      </c>
    </row>
    <row r="23" spans="1:3" x14ac:dyDescent="0.2">
      <c r="A23" t="s">
        <v>29</v>
      </c>
    </row>
    <row r="24" spans="1:3" x14ac:dyDescent="0.2">
      <c r="A24" t="s">
        <v>32</v>
      </c>
    </row>
  </sheetData>
  <mergeCells count="2">
    <mergeCell ref="C4:D4"/>
    <mergeCell ref="E4:F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BE6A1-3495-7A45-84B1-D058D7CE6E49}">
  <dimension ref="C8:T37"/>
  <sheetViews>
    <sheetView tabSelected="1" topLeftCell="C9" zoomScale="143" workbookViewId="0">
      <selection activeCell="E19" sqref="E19"/>
    </sheetView>
  </sheetViews>
  <sheetFormatPr baseColWidth="10" defaultRowHeight="16" x14ac:dyDescent="0.2"/>
  <cols>
    <col min="3" max="3" width="24" customWidth="1"/>
    <col min="9" max="9" width="22.83203125" customWidth="1"/>
    <col min="10" max="10" width="21.1640625" customWidth="1"/>
  </cols>
  <sheetData>
    <row r="8" spans="3:13" x14ac:dyDescent="0.2">
      <c r="C8" t="s">
        <v>28</v>
      </c>
    </row>
    <row r="9" spans="3:13" x14ac:dyDescent="0.2">
      <c r="C9" s="12"/>
      <c r="D9" s="18">
        <v>2022</v>
      </c>
      <c r="E9" s="19"/>
      <c r="F9" s="18">
        <v>2023</v>
      </c>
      <c r="G9" s="19"/>
    </row>
    <row r="10" spans="3:13" x14ac:dyDescent="0.2">
      <c r="C10" s="12"/>
      <c r="D10" s="12" t="s">
        <v>22</v>
      </c>
      <c r="E10" s="12" t="s">
        <v>23</v>
      </c>
      <c r="F10" s="12" t="s">
        <v>22</v>
      </c>
      <c r="G10" s="12" t="s">
        <v>23</v>
      </c>
      <c r="I10" t="s">
        <v>84</v>
      </c>
      <c r="J10" t="s">
        <v>91</v>
      </c>
    </row>
    <row r="11" spans="3:13" x14ac:dyDescent="0.2">
      <c r="C11" s="12" t="s">
        <v>24</v>
      </c>
      <c r="D11" s="12">
        <v>18</v>
      </c>
      <c r="E11" s="12">
        <v>0.9</v>
      </c>
      <c r="F11" s="12">
        <v>15</v>
      </c>
      <c r="G11" s="12">
        <v>1.02</v>
      </c>
      <c r="I11">
        <f>G11*D11</f>
        <v>18.36</v>
      </c>
      <c r="J11">
        <f>E11*D11</f>
        <v>16.2</v>
      </c>
    </row>
    <row r="12" spans="3:13" x14ac:dyDescent="0.2">
      <c r="C12" s="12" t="s">
        <v>25</v>
      </c>
      <c r="D12" s="12">
        <v>24</v>
      </c>
      <c r="E12" s="12">
        <v>0.8</v>
      </c>
      <c r="F12" s="12">
        <v>27</v>
      </c>
      <c r="G12" s="31">
        <v>0.92</v>
      </c>
      <c r="I12" t="s">
        <v>92</v>
      </c>
      <c r="J12">
        <f t="shared" ref="J12:J13" si="0">E12*D12</f>
        <v>19.200000000000003</v>
      </c>
    </row>
    <row r="13" spans="3:13" x14ac:dyDescent="0.2">
      <c r="C13" s="12" t="s">
        <v>26</v>
      </c>
      <c r="D13" s="12">
        <v>16</v>
      </c>
      <c r="E13" s="12">
        <v>0.3</v>
      </c>
      <c r="F13" s="12">
        <v>15</v>
      </c>
      <c r="G13" s="12">
        <v>0.24</v>
      </c>
      <c r="I13">
        <f>G13*D13</f>
        <v>3.84</v>
      </c>
      <c r="J13">
        <f t="shared" si="0"/>
        <v>4.8</v>
      </c>
    </row>
    <row r="15" spans="3:13" x14ac:dyDescent="0.2">
      <c r="I15">
        <f>I11+I13</f>
        <v>22.2</v>
      </c>
      <c r="J15">
        <f>SUM(J11:J13)</f>
        <v>40.200000000000003</v>
      </c>
    </row>
    <row r="16" spans="3:13" x14ac:dyDescent="0.2">
      <c r="C16" s="30" t="s">
        <v>90</v>
      </c>
      <c r="M16">
        <f>40.2*1.1</f>
        <v>44.220000000000006</v>
      </c>
    </row>
    <row r="17" spans="3:17" x14ac:dyDescent="0.2">
      <c r="C17" s="30"/>
    </row>
    <row r="18" spans="3:17" x14ac:dyDescent="0.2">
      <c r="C18" s="30"/>
      <c r="I18" s="32" t="s">
        <v>93</v>
      </c>
      <c r="J18" s="32"/>
      <c r="K18" s="32"/>
    </row>
    <row r="19" spans="3:17" x14ac:dyDescent="0.2">
      <c r="I19" s="32"/>
      <c r="J19" s="32"/>
      <c r="K19" s="32"/>
    </row>
    <row r="20" spans="3:17" x14ac:dyDescent="0.2">
      <c r="C20" t="s">
        <v>78</v>
      </c>
      <c r="D20">
        <f>10/100+1</f>
        <v>1.1000000000000001</v>
      </c>
      <c r="I20" s="32"/>
      <c r="J20" s="32"/>
      <c r="K20" s="32"/>
    </row>
    <row r="21" spans="3:17" x14ac:dyDescent="0.2">
      <c r="I21" s="32"/>
      <c r="J21" s="32"/>
      <c r="K21" s="32"/>
    </row>
    <row r="22" spans="3:17" x14ac:dyDescent="0.2">
      <c r="C22">
        <v>1.1000000000000001</v>
      </c>
      <c r="I22" s="32"/>
      <c r="J22" s="32"/>
      <c r="K22" s="32"/>
    </row>
    <row r="23" spans="3:17" x14ac:dyDescent="0.2">
      <c r="I23" s="32" t="s">
        <v>94</v>
      </c>
      <c r="J23" s="32"/>
      <c r="K23" s="32"/>
      <c r="L23" s="32" t="s">
        <v>95</v>
      </c>
      <c r="M23" s="32"/>
      <c r="N23" s="32"/>
    </row>
    <row r="24" spans="3:17" x14ac:dyDescent="0.2">
      <c r="I24" s="32"/>
      <c r="J24" s="32"/>
      <c r="K24" s="32"/>
      <c r="L24" s="32"/>
      <c r="M24" s="32"/>
      <c r="N24" s="32"/>
    </row>
    <row r="25" spans="3:17" x14ac:dyDescent="0.2">
      <c r="I25" s="32"/>
      <c r="J25" s="32"/>
      <c r="K25" s="32"/>
      <c r="L25" s="32"/>
      <c r="M25" s="32"/>
      <c r="N25" s="32"/>
    </row>
    <row r="26" spans="3:17" x14ac:dyDescent="0.2">
      <c r="I26" s="32"/>
      <c r="J26" s="32"/>
      <c r="K26" s="32"/>
      <c r="L26" s="32"/>
      <c r="M26" s="32"/>
      <c r="N26" s="32"/>
    </row>
    <row r="27" spans="3:17" x14ac:dyDescent="0.2">
      <c r="C27" s="28">
        <f>(G11*D11+G12*D12+G13*D13)/(E11*D11+E12*D12+E13*D13)</f>
        <v>1.1014925373134328</v>
      </c>
      <c r="I27" s="32"/>
      <c r="J27" s="32"/>
      <c r="K27" s="32"/>
      <c r="L27" s="32"/>
      <c r="M27" s="32"/>
      <c r="N27" s="32"/>
    </row>
    <row r="28" spans="3:17" x14ac:dyDescent="0.2">
      <c r="L28" s="32" t="s">
        <v>96</v>
      </c>
      <c r="M28" s="32"/>
      <c r="N28" s="32"/>
      <c r="O28" s="32" t="s">
        <v>97</v>
      </c>
      <c r="P28" s="32"/>
      <c r="Q28" s="32"/>
    </row>
    <row r="29" spans="3:17" x14ac:dyDescent="0.2">
      <c r="L29" s="32"/>
      <c r="M29" s="32"/>
      <c r="N29" s="32"/>
      <c r="O29" s="32"/>
      <c r="P29" s="32"/>
      <c r="Q29" s="32"/>
    </row>
    <row r="30" spans="3:17" x14ac:dyDescent="0.2">
      <c r="L30" s="32"/>
      <c r="M30" s="32"/>
      <c r="N30" s="32"/>
      <c r="O30" s="32"/>
      <c r="P30" s="32"/>
      <c r="Q30" s="32"/>
    </row>
    <row r="31" spans="3:17" x14ac:dyDescent="0.2">
      <c r="L31" s="32"/>
      <c r="M31" s="32"/>
      <c r="N31" s="32"/>
      <c r="O31" s="32"/>
      <c r="P31" s="32"/>
      <c r="Q31" s="32"/>
    </row>
    <row r="32" spans="3:17" x14ac:dyDescent="0.2">
      <c r="L32" s="32"/>
      <c r="M32" s="32"/>
      <c r="N32" s="32"/>
      <c r="O32" s="32"/>
      <c r="P32" s="32"/>
      <c r="Q32" s="32"/>
    </row>
    <row r="33" spans="15:20" x14ac:dyDescent="0.2">
      <c r="O33" s="32" t="s">
        <v>98</v>
      </c>
      <c r="P33" s="32"/>
      <c r="Q33" s="32"/>
      <c r="R33" s="32">
        <f>22.02/24</f>
        <v>0.91749999999999998</v>
      </c>
      <c r="S33" s="32"/>
      <c r="T33" s="32"/>
    </row>
    <row r="34" spans="15:20" x14ac:dyDescent="0.2">
      <c r="O34" s="32"/>
      <c r="P34" s="32"/>
      <c r="Q34" s="32"/>
      <c r="R34" s="32"/>
      <c r="S34" s="32"/>
      <c r="T34" s="32"/>
    </row>
    <row r="35" spans="15:20" x14ac:dyDescent="0.2">
      <c r="O35" s="32"/>
      <c r="P35" s="32"/>
      <c r="Q35" s="32"/>
      <c r="R35" s="32"/>
      <c r="S35" s="32"/>
      <c r="T35" s="32"/>
    </row>
    <row r="36" spans="15:20" x14ac:dyDescent="0.2">
      <c r="O36" s="32"/>
      <c r="P36" s="32"/>
      <c r="Q36" s="32"/>
      <c r="R36" s="32"/>
      <c r="S36" s="32"/>
      <c r="T36" s="32"/>
    </row>
    <row r="37" spans="15:20" x14ac:dyDescent="0.2">
      <c r="O37" s="32"/>
      <c r="P37" s="32"/>
      <c r="Q37" s="32"/>
      <c r="R37" s="32"/>
      <c r="S37" s="32"/>
      <c r="T37" s="32"/>
    </row>
  </sheetData>
  <mergeCells count="10">
    <mergeCell ref="L28:N32"/>
    <mergeCell ref="O28:Q32"/>
    <mergeCell ref="O33:Q37"/>
    <mergeCell ref="R33:T37"/>
    <mergeCell ref="D9:E9"/>
    <mergeCell ref="F9:G9"/>
    <mergeCell ref="C16:C18"/>
    <mergeCell ref="I18:K22"/>
    <mergeCell ref="I23:K27"/>
    <mergeCell ref="L23:N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q&amp;a</vt:lpstr>
      <vt:lpstr>Sheet1</vt:lpstr>
      <vt:lpstr>Sheet2</vt:lpstr>
      <vt:lpstr>Sheet3</vt:lpstr>
      <vt:lpstr>ex_1</vt:lpstr>
      <vt:lpstr>ex_2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Carla Galluccio</dc:creator>
  <cp:lastModifiedBy>Andrea Ballerini</cp:lastModifiedBy>
  <dcterms:created xsi:type="dcterms:W3CDTF">2023-10-09T11:46:31Z</dcterms:created>
  <dcterms:modified xsi:type="dcterms:W3CDTF">2025-12-17T16:12:24Z</dcterms:modified>
</cp:coreProperties>
</file>